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MAINSTORE A\Desktop\"/>
    </mc:Choice>
  </mc:AlternateContent>
  <xr:revisionPtr revIDLastSave="0" documentId="13_ncr:1_{0F5194DD-215A-467D-B791-43B5CAE079F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NTERIM STOCK TAKE JAN 2026" sheetId="1" r:id="rId1"/>
    <sheet name="FEB 25. 26" sheetId="2" r:id="rId2"/>
    <sheet name="MAY.25.26" sheetId="3" r:id="rId3"/>
    <sheet name="JUNE STOCK TAKE " sheetId="5" r:id="rId4"/>
  </sheets>
  <calcPr calcId="181029"/>
</workbook>
</file>

<file path=xl/calcChain.xml><?xml version="1.0" encoding="utf-8"?>
<calcChain xmlns="http://schemas.openxmlformats.org/spreadsheetml/2006/main">
  <c r="M231" i="5" l="1"/>
  <c r="L231" i="5"/>
  <c r="K231" i="5"/>
  <c r="I231" i="5"/>
  <c r="J231" i="5" s="1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8" i="5"/>
  <c r="M9" i="5"/>
  <c r="M10" i="5"/>
  <c r="J103" i="5"/>
  <c r="J124" i="5"/>
  <c r="J152" i="5"/>
  <c r="J203" i="5"/>
  <c r="J213" i="5"/>
  <c r="K77" i="5"/>
  <c r="L77" i="5" s="1"/>
  <c r="I77" i="5"/>
  <c r="J77" i="5" s="1"/>
  <c r="I76" i="5"/>
  <c r="J76" i="5" s="1"/>
  <c r="K8" i="5"/>
  <c r="L8" i="5" s="1"/>
  <c r="K9" i="5"/>
  <c r="L9" i="5" s="1"/>
  <c r="K10" i="5"/>
  <c r="L10" i="5" s="1"/>
  <c r="K11" i="5"/>
  <c r="L11" i="5" s="1"/>
  <c r="K12" i="5"/>
  <c r="L12" i="5" s="1"/>
  <c r="K13" i="5"/>
  <c r="L13" i="5" s="1"/>
  <c r="K14" i="5"/>
  <c r="L14" i="5" s="1"/>
  <c r="K15" i="5"/>
  <c r="L15" i="5" s="1"/>
  <c r="K16" i="5"/>
  <c r="K17" i="5"/>
  <c r="L17" i="5" s="1"/>
  <c r="K18" i="5"/>
  <c r="L18" i="5" s="1"/>
  <c r="K19" i="5"/>
  <c r="L19" i="5" s="1"/>
  <c r="K20" i="5"/>
  <c r="L20" i="5" s="1"/>
  <c r="K21" i="5"/>
  <c r="L21" i="5" s="1"/>
  <c r="K22" i="5"/>
  <c r="L22" i="5" s="1"/>
  <c r="K23" i="5"/>
  <c r="L23" i="5" s="1"/>
  <c r="K24" i="5"/>
  <c r="L24" i="5" s="1"/>
  <c r="K25" i="5"/>
  <c r="L25" i="5" s="1"/>
  <c r="K26" i="5"/>
  <c r="L26" i="5" s="1"/>
  <c r="K27" i="5"/>
  <c r="L27" i="5" s="1"/>
  <c r="K28" i="5"/>
  <c r="L28" i="5" s="1"/>
  <c r="K29" i="5"/>
  <c r="L29" i="5" s="1"/>
  <c r="K30" i="5"/>
  <c r="L30" i="5" s="1"/>
  <c r="K31" i="5"/>
  <c r="L31" i="5" s="1"/>
  <c r="K32" i="5"/>
  <c r="L32" i="5" s="1"/>
  <c r="K33" i="5"/>
  <c r="L33" i="5" s="1"/>
  <c r="K34" i="5"/>
  <c r="L34" i="5" s="1"/>
  <c r="K35" i="5"/>
  <c r="L35" i="5" s="1"/>
  <c r="K36" i="5"/>
  <c r="K37" i="5"/>
  <c r="L37" i="5" s="1"/>
  <c r="K38" i="5"/>
  <c r="L38" i="5" s="1"/>
  <c r="K39" i="5"/>
  <c r="L39" i="5" s="1"/>
  <c r="K40" i="5"/>
  <c r="L40" i="5" s="1"/>
  <c r="K41" i="5"/>
  <c r="L41" i="5" s="1"/>
  <c r="K42" i="5"/>
  <c r="L42" i="5" s="1"/>
  <c r="K43" i="5"/>
  <c r="L43" i="5" s="1"/>
  <c r="K44" i="5"/>
  <c r="L44" i="5" s="1"/>
  <c r="K45" i="5"/>
  <c r="L45" i="5" s="1"/>
  <c r="K46" i="5"/>
  <c r="L46" i="5" s="1"/>
  <c r="K47" i="5"/>
  <c r="L47" i="5" s="1"/>
  <c r="K48" i="5"/>
  <c r="L48" i="5" s="1"/>
  <c r="K49" i="5"/>
  <c r="L49" i="5" s="1"/>
  <c r="K50" i="5"/>
  <c r="L50" i="5" s="1"/>
  <c r="K51" i="5"/>
  <c r="L51" i="5" s="1"/>
  <c r="K52" i="5"/>
  <c r="L52" i="5" s="1"/>
  <c r="K53" i="5"/>
  <c r="L53" i="5" s="1"/>
  <c r="K54" i="5"/>
  <c r="L54" i="5" s="1"/>
  <c r="K55" i="5"/>
  <c r="L55" i="5" s="1"/>
  <c r="K56" i="5"/>
  <c r="L56" i="5" s="1"/>
  <c r="K57" i="5"/>
  <c r="L57" i="5" s="1"/>
  <c r="K58" i="5"/>
  <c r="L58" i="5" s="1"/>
  <c r="K59" i="5"/>
  <c r="L59" i="5" s="1"/>
  <c r="K60" i="5"/>
  <c r="L60" i="5" s="1"/>
  <c r="K61" i="5"/>
  <c r="L61" i="5" s="1"/>
  <c r="K62" i="5"/>
  <c r="L62" i="5" s="1"/>
  <c r="K63" i="5"/>
  <c r="L63" i="5" s="1"/>
  <c r="K64" i="5"/>
  <c r="L64" i="5" s="1"/>
  <c r="K65" i="5"/>
  <c r="L65" i="5" s="1"/>
  <c r="K66" i="5"/>
  <c r="L66" i="5" s="1"/>
  <c r="K67" i="5"/>
  <c r="L67" i="5" s="1"/>
  <c r="K68" i="5"/>
  <c r="L68" i="5" s="1"/>
  <c r="K69" i="5"/>
  <c r="L69" i="5" s="1"/>
  <c r="K70" i="5"/>
  <c r="L70" i="5" s="1"/>
  <c r="K71" i="5"/>
  <c r="L71" i="5" s="1"/>
  <c r="K72" i="5"/>
  <c r="L72" i="5" s="1"/>
  <c r="K73" i="5"/>
  <c r="L73" i="5" s="1"/>
  <c r="K74" i="5"/>
  <c r="L74" i="5" s="1"/>
  <c r="K75" i="5"/>
  <c r="L75" i="5" s="1"/>
  <c r="K76" i="5"/>
  <c r="L76" i="5" s="1"/>
  <c r="L16" i="5"/>
  <c r="L36" i="5"/>
  <c r="K171" i="5"/>
  <c r="L171" i="5" s="1"/>
  <c r="I171" i="5"/>
  <c r="J171" i="5" s="1"/>
  <c r="I170" i="5"/>
  <c r="J170" i="5" s="1"/>
  <c r="K227" i="5"/>
  <c r="L227" i="5" s="1"/>
  <c r="K235" i="5"/>
  <c r="L235" i="5" s="1"/>
  <c r="I227" i="5"/>
  <c r="J227" i="5" s="1"/>
  <c r="I235" i="5"/>
  <c r="J235" i="5" s="1"/>
  <c r="K228" i="5"/>
  <c r="L228" i="5" s="1"/>
  <c r="I228" i="5"/>
  <c r="J228" i="5" s="1"/>
  <c r="M227" i="5"/>
  <c r="M235" i="5"/>
  <c r="M233" i="5"/>
  <c r="K233" i="5"/>
  <c r="L233" i="5" s="1"/>
  <c r="I233" i="5"/>
  <c r="J233" i="5" s="1"/>
  <c r="M228" i="5"/>
  <c r="M240" i="5"/>
  <c r="M241" i="5"/>
  <c r="M242" i="5"/>
  <c r="K240" i="5"/>
  <c r="L240" i="5" s="1"/>
  <c r="K241" i="5"/>
  <c r="L241" i="5" s="1"/>
  <c r="K242" i="5"/>
  <c r="L242" i="5" s="1"/>
  <c r="I240" i="5"/>
  <c r="J240" i="5" s="1"/>
  <c r="I241" i="5"/>
  <c r="J241" i="5" s="1"/>
  <c r="I242" i="5"/>
  <c r="J242" i="5" s="1"/>
  <c r="K7" i="5"/>
  <c r="L7" i="5" s="1"/>
  <c r="I10" i="5"/>
  <c r="J10" i="5" s="1"/>
  <c r="M244" i="5"/>
  <c r="K244" i="5"/>
  <c r="L244" i="5" s="1"/>
  <c r="I244" i="5"/>
  <c r="J244" i="5" s="1"/>
  <c r="M243" i="5"/>
  <c r="K243" i="5"/>
  <c r="L243" i="5" s="1"/>
  <c r="I243" i="5"/>
  <c r="J243" i="5" s="1"/>
  <c r="M239" i="5"/>
  <c r="K239" i="5"/>
  <c r="L239" i="5" s="1"/>
  <c r="I239" i="5"/>
  <c r="J239" i="5" s="1"/>
  <c r="M238" i="5"/>
  <c r="K238" i="5"/>
  <c r="L238" i="5" s="1"/>
  <c r="I238" i="5"/>
  <c r="J238" i="5" s="1"/>
  <c r="M236" i="5"/>
  <c r="K236" i="5"/>
  <c r="L236" i="5" s="1"/>
  <c r="I236" i="5"/>
  <c r="J236" i="5" s="1"/>
  <c r="M237" i="5"/>
  <c r="K237" i="5"/>
  <c r="L237" i="5" s="1"/>
  <c r="I237" i="5"/>
  <c r="J237" i="5" s="1"/>
  <c r="M234" i="5"/>
  <c r="K234" i="5"/>
  <c r="L234" i="5" s="1"/>
  <c r="I234" i="5"/>
  <c r="J234" i="5" s="1"/>
  <c r="M232" i="5"/>
  <c r="K232" i="5"/>
  <c r="L232" i="5" s="1"/>
  <c r="I232" i="5"/>
  <c r="J232" i="5" s="1"/>
  <c r="M230" i="5"/>
  <c r="K230" i="5"/>
  <c r="L230" i="5" s="1"/>
  <c r="I230" i="5"/>
  <c r="J230" i="5" s="1"/>
  <c r="M229" i="5"/>
  <c r="K229" i="5"/>
  <c r="L229" i="5" s="1"/>
  <c r="I229" i="5"/>
  <c r="J229" i="5" s="1"/>
  <c r="K224" i="5"/>
  <c r="L224" i="5" s="1"/>
  <c r="I224" i="5"/>
  <c r="J224" i="5" s="1"/>
  <c r="K223" i="5"/>
  <c r="L223" i="5" s="1"/>
  <c r="I223" i="5"/>
  <c r="J223" i="5" s="1"/>
  <c r="K222" i="5"/>
  <c r="L222" i="5" s="1"/>
  <c r="I222" i="5"/>
  <c r="J222" i="5" s="1"/>
  <c r="K221" i="5"/>
  <c r="L221" i="5" s="1"/>
  <c r="I221" i="5"/>
  <c r="J221" i="5" s="1"/>
  <c r="K220" i="5"/>
  <c r="L220" i="5" s="1"/>
  <c r="I220" i="5"/>
  <c r="J220" i="5" s="1"/>
  <c r="K219" i="5"/>
  <c r="L219" i="5" s="1"/>
  <c r="I219" i="5"/>
  <c r="J219" i="5" s="1"/>
  <c r="K218" i="5"/>
  <c r="L218" i="5" s="1"/>
  <c r="I218" i="5"/>
  <c r="J218" i="5" s="1"/>
  <c r="K217" i="5"/>
  <c r="L217" i="5" s="1"/>
  <c r="I217" i="5"/>
  <c r="J217" i="5" s="1"/>
  <c r="K216" i="5"/>
  <c r="L216" i="5" s="1"/>
  <c r="I216" i="5"/>
  <c r="J216" i="5" s="1"/>
  <c r="K215" i="5"/>
  <c r="L215" i="5" s="1"/>
  <c r="I215" i="5"/>
  <c r="J215" i="5" s="1"/>
  <c r="K214" i="5"/>
  <c r="L214" i="5" s="1"/>
  <c r="I214" i="5"/>
  <c r="J214" i="5" s="1"/>
  <c r="K212" i="5"/>
  <c r="L212" i="5" s="1"/>
  <c r="I212" i="5"/>
  <c r="J212" i="5" s="1"/>
  <c r="K211" i="5"/>
  <c r="L211" i="5" s="1"/>
  <c r="I211" i="5"/>
  <c r="J211" i="5" s="1"/>
  <c r="K210" i="5"/>
  <c r="L210" i="5" s="1"/>
  <c r="I210" i="5"/>
  <c r="J210" i="5" s="1"/>
  <c r="K209" i="5"/>
  <c r="L209" i="5" s="1"/>
  <c r="I209" i="5"/>
  <c r="J209" i="5" s="1"/>
  <c r="K208" i="5"/>
  <c r="L208" i="5" s="1"/>
  <c r="I208" i="5"/>
  <c r="J208" i="5" s="1"/>
  <c r="K207" i="5"/>
  <c r="L207" i="5" s="1"/>
  <c r="I207" i="5"/>
  <c r="J207" i="5" s="1"/>
  <c r="K206" i="5"/>
  <c r="L206" i="5" s="1"/>
  <c r="I206" i="5"/>
  <c r="J206" i="5" s="1"/>
  <c r="K205" i="5"/>
  <c r="L205" i="5" s="1"/>
  <c r="I205" i="5"/>
  <c r="J205" i="5" s="1"/>
  <c r="K204" i="5"/>
  <c r="L204" i="5" s="1"/>
  <c r="I204" i="5"/>
  <c r="J204" i="5" s="1"/>
  <c r="K202" i="5"/>
  <c r="L202" i="5" s="1"/>
  <c r="I202" i="5"/>
  <c r="J202" i="5" s="1"/>
  <c r="K201" i="5"/>
  <c r="L201" i="5" s="1"/>
  <c r="I201" i="5"/>
  <c r="J201" i="5" s="1"/>
  <c r="K200" i="5"/>
  <c r="L200" i="5" s="1"/>
  <c r="I200" i="5"/>
  <c r="J200" i="5" s="1"/>
  <c r="K199" i="5"/>
  <c r="L199" i="5" s="1"/>
  <c r="I199" i="5"/>
  <c r="J199" i="5" s="1"/>
  <c r="K198" i="5"/>
  <c r="L198" i="5" s="1"/>
  <c r="I198" i="5"/>
  <c r="J198" i="5" s="1"/>
  <c r="K197" i="5"/>
  <c r="L197" i="5" s="1"/>
  <c r="I197" i="5"/>
  <c r="J197" i="5" s="1"/>
  <c r="K196" i="5"/>
  <c r="L196" i="5" s="1"/>
  <c r="I196" i="5"/>
  <c r="J196" i="5" s="1"/>
  <c r="K195" i="5"/>
  <c r="L195" i="5" s="1"/>
  <c r="I195" i="5"/>
  <c r="J195" i="5" s="1"/>
  <c r="K194" i="5"/>
  <c r="L194" i="5" s="1"/>
  <c r="I194" i="5"/>
  <c r="J194" i="5" s="1"/>
  <c r="K193" i="5"/>
  <c r="L193" i="5" s="1"/>
  <c r="I193" i="5"/>
  <c r="J193" i="5" s="1"/>
  <c r="K192" i="5"/>
  <c r="L192" i="5" s="1"/>
  <c r="I192" i="5"/>
  <c r="J192" i="5" s="1"/>
  <c r="K191" i="5"/>
  <c r="L191" i="5" s="1"/>
  <c r="I191" i="5"/>
  <c r="J191" i="5" s="1"/>
  <c r="K190" i="5"/>
  <c r="L190" i="5" s="1"/>
  <c r="I190" i="5"/>
  <c r="J190" i="5" s="1"/>
  <c r="K189" i="5"/>
  <c r="L189" i="5" s="1"/>
  <c r="I189" i="5"/>
  <c r="J189" i="5" s="1"/>
  <c r="K188" i="5"/>
  <c r="L188" i="5" s="1"/>
  <c r="I188" i="5"/>
  <c r="J188" i="5" s="1"/>
  <c r="K187" i="5"/>
  <c r="L187" i="5" s="1"/>
  <c r="I187" i="5"/>
  <c r="J187" i="5" s="1"/>
  <c r="K186" i="5"/>
  <c r="L186" i="5" s="1"/>
  <c r="I186" i="5"/>
  <c r="J186" i="5" s="1"/>
  <c r="K185" i="5"/>
  <c r="L185" i="5" s="1"/>
  <c r="I185" i="5"/>
  <c r="J185" i="5" s="1"/>
  <c r="K184" i="5"/>
  <c r="L184" i="5" s="1"/>
  <c r="I184" i="5"/>
  <c r="J184" i="5" s="1"/>
  <c r="K183" i="5"/>
  <c r="L183" i="5" s="1"/>
  <c r="I183" i="5"/>
  <c r="J183" i="5" s="1"/>
  <c r="K182" i="5"/>
  <c r="L182" i="5" s="1"/>
  <c r="I182" i="5"/>
  <c r="J182" i="5" s="1"/>
  <c r="K181" i="5"/>
  <c r="L181" i="5" s="1"/>
  <c r="I181" i="5"/>
  <c r="J181" i="5" s="1"/>
  <c r="K180" i="5"/>
  <c r="L180" i="5" s="1"/>
  <c r="I180" i="5"/>
  <c r="J180" i="5" s="1"/>
  <c r="K179" i="5"/>
  <c r="L179" i="5" s="1"/>
  <c r="I179" i="5"/>
  <c r="J179" i="5" s="1"/>
  <c r="K178" i="5"/>
  <c r="L178" i="5" s="1"/>
  <c r="I178" i="5"/>
  <c r="J178" i="5" s="1"/>
  <c r="K177" i="5"/>
  <c r="L177" i="5" s="1"/>
  <c r="I177" i="5"/>
  <c r="J177" i="5" s="1"/>
  <c r="K176" i="5"/>
  <c r="L176" i="5" s="1"/>
  <c r="I176" i="5"/>
  <c r="J176" i="5" s="1"/>
  <c r="K175" i="5"/>
  <c r="L175" i="5" s="1"/>
  <c r="I175" i="5"/>
  <c r="J175" i="5" s="1"/>
  <c r="K174" i="5"/>
  <c r="L174" i="5" s="1"/>
  <c r="I174" i="5"/>
  <c r="J174" i="5" s="1"/>
  <c r="K173" i="5"/>
  <c r="L173" i="5" s="1"/>
  <c r="I173" i="5"/>
  <c r="J173" i="5" s="1"/>
  <c r="K172" i="5"/>
  <c r="L172" i="5" s="1"/>
  <c r="I172" i="5"/>
  <c r="J172" i="5" s="1"/>
  <c r="K170" i="5"/>
  <c r="L170" i="5" s="1"/>
  <c r="K169" i="5"/>
  <c r="L169" i="5" s="1"/>
  <c r="I169" i="5"/>
  <c r="J169" i="5" s="1"/>
  <c r="K168" i="5"/>
  <c r="L168" i="5" s="1"/>
  <c r="I168" i="5"/>
  <c r="J168" i="5" s="1"/>
  <c r="K167" i="5"/>
  <c r="L167" i="5" s="1"/>
  <c r="I167" i="5"/>
  <c r="J167" i="5" s="1"/>
  <c r="K166" i="5"/>
  <c r="L166" i="5" s="1"/>
  <c r="I166" i="5"/>
  <c r="J166" i="5" s="1"/>
  <c r="K165" i="5"/>
  <c r="L165" i="5" s="1"/>
  <c r="I165" i="5"/>
  <c r="J165" i="5" s="1"/>
  <c r="K164" i="5"/>
  <c r="L164" i="5" s="1"/>
  <c r="I164" i="5"/>
  <c r="J164" i="5" s="1"/>
  <c r="K163" i="5"/>
  <c r="L163" i="5" s="1"/>
  <c r="I163" i="5"/>
  <c r="J163" i="5" s="1"/>
  <c r="K162" i="5"/>
  <c r="L162" i="5" s="1"/>
  <c r="I162" i="5"/>
  <c r="J162" i="5" s="1"/>
  <c r="K161" i="5"/>
  <c r="L161" i="5" s="1"/>
  <c r="I161" i="5"/>
  <c r="J161" i="5" s="1"/>
  <c r="K160" i="5"/>
  <c r="L160" i="5" s="1"/>
  <c r="I160" i="5"/>
  <c r="J160" i="5" s="1"/>
  <c r="K159" i="5"/>
  <c r="L159" i="5" s="1"/>
  <c r="I159" i="5"/>
  <c r="J159" i="5" s="1"/>
  <c r="K158" i="5"/>
  <c r="L158" i="5" s="1"/>
  <c r="I158" i="5"/>
  <c r="J158" i="5" s="1"/>
  <c r="K157" i="5"/>
  <c r="L157" i="5" s="1"/>
  <c r="I157" i="5"/>
  <c r="J157" i="5" s="1"/>
  <c r="K156" i="5"/>
  <c r="L156" i="5" s="1"/>
  <c r="I156" i="5"/>
  <c r="J156" i="5" s="1"/>
  <c r="K155" i="5"/>
  <c r="L155" i="5" s="1"/>
  <c r="I155" i="5"/>
  <c r="J155" i="5" s="1"/>
  <c r="K154" i="5"/>
  <c r="L154" i="5" s="1"/>
  <c r="I154" i="5"/>
  <c r="J154" i="5" s="1"/>
  <c r="K153" i="5"/>
  <c r="L153" i="5" s="1"/>
  <c r="I153" i="5"/>
  <c r="J153" i="5" s="1"/>
  <c r="K152" i="5"/>
  <c r="L152" i="5" s="1"/>
  <c r="I152" i="5"/>
  <c r="K151" i="5"/>
  <c r="L151" i="5" s="1"/>
  <c r="I151" i="5"/>
  <c r="J151" i="5" s="1"/>
  <c r="K150" i="5"/>
  <c r="L150" i="5" s="1"/>
  <c r="I150" i="5"/>
  <c r="J150" i="5" s="1"/>
  <c r="K149" i="5"/>
  <c r="L149" i="5" s="1"/>
  <c r="I149" i="5"/>
  <c r="J149" i="5" s="1"/>
  <c r="K148" i="5"/>
  <c r="L148" i="5" s="1"/>
  <c r="I148" i="5"/>
  <c r="J148" i="5" s="1"/>
  <c r="K147" i="5"/>
  <c r="L147" i="5" s="1"/>
  <c r="I147" i="5"/>
  <c r="J147" i="5" s="1"/>
  <c r="K146" i="5"/>
  <c r="L146" i="5" s="1"/>
  <c r="I146" i="5"/>
  <c r="J146" i="5" s="1"/>
  <c r="K145" i="5"/>
  <c r="L145" i="5" s="1"/>
  <c r="I145" i="5"/>
  <c r="J145" i="5" s="1"/>
  <c r="K144" i="5"/>
  <c r="L144" i="5" s="1"/>
  <c r="I144" i="5"/>
  <c r="J144" i="5" s="1"/>
  <c r="K143" i="5"/>
  <c r="L143" i="5" s="1"/>
  <c r="I143" i="5"/>
  <c r="J143" i="5" s="1"/>
  <c r="K142" i="5"/>
  <c r="L142" i="5" s="1"/>
  <c r="I142" i="5"/>
  <c r="J142" i="5" s="1"/>
  <c r="K141" i="5"/>
  <c r="L141" i="5" s="1"/>
  <c r="I141" i="5"/>
  <c r="J141" i="5" s="1"/>
  <c r="K140" i="5"/>
  <c r="L140" i="5" s="1"/>
  <c r="I140" i="5"/>
  <c r="J140" i="5" s="1"/>
  <c r="K139" i="5"/>
  <c r="L139" i="5" s="1"/>
  <c r="I139" i="5"/>
  <c r="J139" i="5" s="1"/>
  <c r="K138" i="5"/>
  <c r="L138" i="5" s="1"/>
  <c r="I138" i="5"/>
  <c r="J138" i="5" s="1"/>
  <c r="K137" i="5"/>
  <c r="L137" i="5" s="1"/>
  <c r="I137" i="5"/>
  <c r="J137" i="5" s="1"/>
  <c r="K136" i="5"/>
  <c r="L136" i="5" s="1"/>
  <c r="I136" i="5"/>
  <c r="J136" i="5" s="1"/>
  <c r="K135" i="5"/>
  <c r="L135" i="5" s="1"/>
  <c r="I135" i="5"/>
  <c r="J135" i="5" s="1"/>
  <c r="K134" i="5"/>
  <c r="L134" i="5" s="1"/>
  <c r="I134" i="5"/>
  <c r="J134" i="5" s="1"/>
  <c r="K133" i="5"/>
  <c r="L133" i="5" s="1"/>
  <c r="I133" i="5"/>
  <c r="J133" i="5" s="1"/>
  <c r="K132" i="5"/>
  <c r="L132" i="5" s="1"/>
  <c r="I132" i="5"/>
  <c r="J132" i="5" s="1"/>
  <c r="K131" i="5"/>
  <c r="L131" i="5" s="1"/>
  <c r="I131" i="5"/>
  <c r="J131" i="5" s="1"/>
  <c r="K130" i="5"/>
  <c r="L130" i="5" s="1"/>
  <c r="I130" i="5"/>
  <c r="J130" i="5" s="1"/>
  <c r="K129" i="5"/>
  <c r="L129" i="5" s="1"/>
  <c r="I129" i="5"/>
  <c r="J129" i="5" s="1"/>
  <c r="K128" i="5"/>
  <c r="L128" i="5" s="1"/>
  <c r="I128" i="5"/>
  <c r="J128" i="5" s="1"/>
  <c r="K127" i="5"/>
  <c r="L127" i="5" s="1"/>
  <c r="I127" i="5"/>
  <c r="J127" i="5" s="1"/>
  <c r="K126" i="5"/>
  <c r="L126" i="5" s="1"/>
  <c r="I126" i="5"/>
  <c r="J126" i="5" s="1"/>
  <c r="K125" i="5"/>
  <c r="L125" i="5" s="1"/>
  <c r="I125" i="5"/>
  <c r="J125" i="5" s="1"/>
  <c r="K124" i="5"/>
  <c r="L124" i="5" s="1"/>
  <c r="I124" i="5"/>
  <c r="K123" i="5"/>
  <c r="L123" i="5" s="1"/>
  <c r="I123" i="5"/>
  <c r="J123" i="5" s="1"/>
  <c r="K122" i="5"/>
  <c r="L122" i="5" s="1"/>
  <c r="I122" i="5"/>
  <c r="J122" i="5" s="1"/>
  <c r="K121" i="5"/>
  <c r="L121" i="5" s="1"/>
  <c r="I121" i="5"/>
  <c r="J121" i="5" s="1"/>
  <c r="K120" i="5"/>
  <c r="L120" i="5" s="1"/>
  <c r="I120" i="5"/>
  <c r="J120" i="5" s="1"/>
  <c r="K119" i="5"/>
  <c r="L119" i="5" s="1"/>
  <c r="I119" i="5"/>
  <c r="J119" i="5" s="1"/>
  <c r="K118" i="5"/>
  <c r="L118" i="5" s="1"/>
  <c r="I118" i="5"/>
  <c r="J118" i="5" s="1"/>
  <c r="K117" i="5"/>
  <c r="L117" i="5" s="1"/>
  <c r="I117" i="5"/>
  <c r="J117" i="5" s="1"/>
  <c r="K116" i="5"/>
  <c r="L116" i="5" s="1"/>
  <c r="I116" i="5"/>
  <c r="J116" i="5" s="1"/>
  <c r="K115" i="5"/>
  <c r="L115" i="5" s="1"/>
  <c r="I115" i="5"/>
  <c r="J115" i="5" s="1"/>
  <c r="K114" i="5"/>
  <c r="L114" i="5" s="1"/>
  <c r="I114" i="5"/>
  <c r="J114" i="5" s="1"/>
  <c r="K113" i="5"/>
  <c r="L113" i="5" s="1"/>
  <c r="I113" i="5"/>
  <c r="J113" i="5" s="1"/>
  <c r="K112" i="5"/>
  <c r="L112" i="5" s="1"/>
  <c r="I112" i="5"/>
  <c r="J112" i="5" s="1"/>
  <c r="K111" i="5"/>
  <c r="L111" i="5" s="1"/>
  <c r="I111" i="5"/>
  <c r="J111" i="5" s="1"/>
  <c r="K110" i="5"/>
  <c r="L110" i="5" s="1"/>
  <c r="I110" i="5"/>
  <c r="J110" i="5" s="1"/>
  <c r="K109" i="5"/>
  <c r="L109" i="5" s="1"/>
  <c r="I109" i="5"/>
  <c r="J109" i="5" s="1"/>
  <c r="K108" i="5"/>
  <c r="L108" i="5" s="1"/>
  <c r="I108" i="5"/>
  <c r="J108" i="5" s="1"/>
  <c r="K107" i="5"/>
  <c r="L107" i="5" s="1"/>
  <c r="I107" i="5"/>
  <c r="J107" i="5" s="1"/>
  <c r="K106" i="5"/>
  <c r="L106" i="5" s="1"/>
  <c r="I106" i="5"/>
  <c r="J106" i="5" s="1"/>
  <c r="K105" i="5"/>
  <c r="L105" i="5" s="1"/>
  <c r="I105" i="5"/>
  <c r="J105" i="5" s="1"/>
  <c r="K104" i="5"/>
  <c r="L104" i="5" s="1"/>
  <c r="I104" i="5"/>
  <c r="J104" i="5" s="1"/>
  <c r="K103" i="5"/>
  <c r="K102" i="5"/>
  <c r="L102" i="5" s="1"/>
  <c r="I102" i="5"/>
  <c r="J102" i="5" s="1"/>
  <c r="K101" i="5"/>
  <c r="I101" i="5"/>
  <c r="J101" i="5" s="1"/>
  <c r="K100" i="5"/>
  <c r="L100" i="5" s="1"/>
  <c r="I100" i="5"/>
  <c r="J100" i="5" s="1"/>
  <c r="K99" i="5"/>
  <c r="L99" i="5" s="1"/>
  <c r="I99" i="5"/>
  <c r="J99" i="5" s="1"/>
  <c r="K98" i="5"/>
  <c r="L98" i="5" s="1"/>
  <c r="I98" i="5"/>
  <c r="J98" i="5" s="1"/>
  <c r="K97" i="5"/>
  <c r="L97" i="5" s="1"/>
  <c r="I97" i="5"/>
  <c r="J97" i="5" s="1"/>
  <c r="K96" i="5"/>
  <c r="L96" i="5" s="1"/>
  <c r="I96" i="5"/>
  <c r="J96" i="5" s="1"/>
  <c r="K95" i="5"/>
  <c r="L95" i="5" s="1"/>
  <c r="I95" i="5"/>
  <c r="J95" i="5" s="1"/>
  <c r="K94" i="5"/>
  <c r="L94" i="5" s="1"/>
  <c r="I94" i="5"/>
  <c r="J94" i="5" s="1"/>
  <c r="K93" i="5"/>
  <c r="L93" i="5" s="1"/>
  <c r="I93" i="5"/>
  <c r="J93" i="5" s="1"/>
  <c r="K92" i="5"/>
  <c r="L92" i="5" s="1"/>
  <c r="I92" i="5"/>
  <c r="J92" i="5" s="1"/>
  <c r="K91" i="5"/>
  <c r="L91" i="5" s="1"/>
  <c r="I91" i="5"/>
  <c r="J91" i="5" s="1"/>
  <c r="K90" i="5"/>
  <c r="L90" i="5" s="1"/>
  <c r="I90" i="5"/>
  <c r="J90" i="5" s="1"/>
  <c r="K89" i="5"/>
  <c r="L89" i="5" s="1"/>
  <c r="I89" i="5"/>
  <c r="J89" i="5" s="1"/>
  <c r="K88" i="5"/>
  <c r="L88" i="5" s="1"/>
  <c r="I88" i="5"/>
  <c r="J88" i="5" s="1"/>
  <c r="K87" i="5"/>
  <c r="L87" i="5" s="1"/>
  <c r="I87" i="5"/>
  <c r="J87" i="5" s="1"/>
  <c r="K86" i="5"/>
  <c r="L86" i="5" s="1"/>
  <c r="I86" i="5"/>
  <c r="J86" i="5" s="1"/>
  <c r="K85" i="5"/>
  <c r="L85" i="5" s="1"/>
  <c r="I85" i="5"/>
  <c r="J85" i="5" s="1"/>
  <c r="K84" i="5"/>
  <c r="L84" i="5" s="1"/>
  <c r="I84" i="5"/>
  <c r="J84" i="5" s="1"/>
  <c r="K83" i="5"/>
  <c r="L83" i="5" s="1"/>
  <c r="I83" i="5"/>
  <c r="J83" i="5" s="1"/>
  <c r="K82" i="5"/>
  <c r="L82" i="5" s="1"/>
  <c r="I82" i="5"/>
  <c r="J82" i="5" s="1"/>
  <c r="K81" i="5"/>
  <c r="L81" i="5" s="1"/>
  <c r="I81" i="5"/>
  <c r="J81" i="5" s="1"/>
  <c r="K80" i="5"/>
  <c r="L80" i="5" s="1"/>
  <c r="I80" i="5"/>
  <c r="J80" i="5" s="1"/>
  <c r="K79" i="5"/>
  <c r="L79" i="5" s="1"/>
  <c r="I79" i="5"/>
  <c r="J79" i="5" s="1"/>
  <c r="K78" i="5"/>
  <c r="L78" i="5" s="1"/>
  <c r="I78" i="5"/>
  <c r="J78" i="5" s="1"/>
  <c r="I75" i="5"/>
  <c r="J75" i="5" s="1"/>
  <c r="I74" i="5"/>
  <c r="J74" i="5" s="1"/>
  <c r="I73" i="5"/>
  <c r="J73" i="5" s="1"/>
  <c r="I72" i="5"/>
  <c r="J72" i="5" s="1"/>
  <c r="I71" i="5"/>
  <c r="J71" i="5" s="1"/>
  <c r="I70" i="5"/>
  <c r="J70" i="5" s="1"/>
  <c r="I69" i="5"/>
  <c r="J69" i="5" s="1"/>
  <c r="I68" i="5"/>
  <c r="J68" i="5" s="1"/>
  <c r="I67" i="5"/>
  <c r="J67" i="5" s="1"/>
  <c r="I66" i="5"/>
  <c r="J66" i="5" s="1"/>
  <c r="I65" i="5"/>
  <c r="J65" i="5" s="1"/>
  <c r="I64" i="5"/>
  <c r="J64" i="5" s="1"/>
  <c r="I63" i="5"/>
  <c r="J63" i="5" s="1"/>
  <c r="I62" i="5"/>
  <c r="J62" i="5" s="1"/>
  <c r="I61" i="5"/>
  <c r="J61" i="5" s="1"/>
  <c r="I60" i="5"/>
  <c r="J60" i="5" s="1"/>
  <c r="I59" i="5"/>
  <c r="J59" i="5" s="1"/>
  <c r="I58" i="5"/>
  <c r="J58" i="5" s="1"/>
  <c r="I57" i="5"/>
  <c r="J57" i="5" s="1"/>
  <c r="I56" i="5"/>
  <c r="J56" i="5" s="1"/>
  <c r="I55" i="5"/>
  <c r="J55" i="5" s="1"/>
  <c r="I54" i="5"/>
  <c r="J54" i="5" s="1"/>
  <c r="I53" i="5"/>
  <c r="J53" i="5" s="1"/>
  <c r="I52" i="5"/>
  <c r="J52" i="5" s="1"/>
  <c r="I51" i="5"/>
  <c r="J51" i="5" s="1"/>
  <c r="I50" i="5"/>
  <c r="J50" i="5" s="1"/>
  <c r="I49" i="5"/>
  <c r="J49" i="5" s="1"/>
  <c r="I48" i="5"/>
  <c r="J48" i="5" s="1"/>
  <c r="I47" i="5"/>
  <c r="J47" i="5" s="1"/>
  <c r="I46" i="5"/>
  <c r="J46" i="5" s="1"/>
  <c r="I45" i="5"/>
  <c r="J45" i="5" s="1"/>
  <c r="I44" i="5"/>
  <c r="J44" i="5" s="1"/>
  <c r="I43" i="5"/>
  <c r="J43" i="5" s="1"/>
  <c r="I42" i="5"/>
  <c r="J42" i="5" s="1"/>
  <c r="I41" i="5"/>
  <c r="J41" i="5" s="1"/>
  <c r="I40" i="5"/>
  <c r="J40" i="5" s="1"/>
  <c r="I39" i="5"/>
  <c r="J39" i="5" s="1"/>
  <c r="I38" i="5"/>
  <c r="J38" i="5" s="1"/>
  <c r="I37" i="5"/>
  <c r="J37" i="5" s="1"/>
  <c r="I36" i="5"/>
  <c r="J36" i="5" s="1"/>
  <c r="I35" i="5"/>
  <c r="J35" i="5" s="1"/>
  <c r="I34" i="5"/>
  <c r="J34" i="5" s="1"/>
  <c r="I33" i="5"/>
  <c r="J33" i="5" s="1"/>
  <c r="I32" i="5"/>
  <c r="J32" i="5" s="1"/>
  <c r="I31" i="5"/>
  <c r="J31" i="5" s="1"/>
  <c r="I30" i="5"/>
  <c r="J30" i="5" s="1"/>
  <c r="I29" i="5"/>
  <c r="J29" i="5" s="1"/>
  <c r="I28" i="5"/>
  <c r="J28" i="5" s="1"/>
  <c r="I27" i="5"/>
  <c r="J27" i="5" s="1"/>
  <c r="I26" i="5"/>
  <c r="J26" i="5" s="1"/>
  <c r="I25" i="5"/>
  <c r="J25" i="5" s="1"/>
  <c r="I24" i="5"/>
  <c r="J24" i="5" s="1"/>
  <c r="I23" i="5"/>
  <c r="J23" i="5" s="1"/>
  <c r="I22" i="5"/>
  <c r="J22" i="5" s="1"/>
  <c r="I21" i="5"/>
  <c r="J21" i="5" s="1"/>
  <c r="I20" i="5"/>
  <c r="J20" i="5" s="1"/>
  <c r="I19" i="5"/>
  <c r="J19" i="5" s="1"/>
  <c r="I18" i="5"/>
  <c r="J18" i="5" s="1"/>
  <c r="I17" i="5"/>
  <c r="J17" i="5" s="1"/>
  <c r="I16" i="5"/>
  <c r="J16" i="5" s="1"/>
  <c r="I15" i="5"/>
  <c r="J15" i="5" s="1"/>
  <c r="I14" i="5"/>
  <c r="J14" i="5" s="1"/>
  <c r="I13" i="5"/>
  <c r="J13" i="5" s="1"/>
  <c r="I12" i="5"/>
  <c r="J12" i="5" s="1"/>
  <c r="I11" i="5"/>
  <c r="J11" i="5" s="1"/>
  <c r="I9" i="5"/>
  <c r="J9" i="5" s="1"/>
  <c r="I8" i="5"/>
  <c r="J8" i="5" s="1"/>
  <c r="M7" i="5"/>
  <c r="I7" i="5"/>
  <c r="J7" i="5" s="1"/>
  <c r="L217" i="3"/>
  <c r="L216" i="3"/>
  <c r="K216" i="3"/>
  <c r="J216" i="3"/>
  <c r="I216" i="3"/>
  <c r="H216" i="3"/>
  <c r="L215" i="3"/>
  <c r="K215" i="3"/>
  <c r="J215" i="3"/>
  <c r="I215" i="3"/>
  <c r="H215" i="3"/>
  <c r="L214" i="3"/>
  <c r="K214" i="3"/>
  <c r="J214" i="3"/>
  <c r="I214" i="3"/>
  <c r="H214" i="3"/>
  <c r="L213" i="3"/>
  <c r="K213" i="3"/>
  <c r="J213" i="3"/>
  <c r="I213" i="3"/>
  <c r="H213" i="3"/>
  <c r="L212" i="3"/>
  <c r="K212" i="3"/>
  <c r="J212" i="3"/>
  <c r="I212" i="3"/>
  <c r="H212" i="3"/>
  <c r="L211" i="3"/>
  <c r="K211" i="3"/>
  <c r="J211" i="3"/>
  <c r="I211" i="3"/>
  <c r="H211" i="3"/>
  <c r="L210" i="3"/>
  <c r="K210" i="3"/>
  <c r="J210" i="3"/>
  <c r="I210" i="3"/>
  <c r="H210" i="3"/>
  <c r="L209" i="3"/>
  <c r="K209" i="3"/>
  <c r="J209" i="3"/>
  <c r="I209" i="3"/>
  <c r="H209" i="3"/>
  <c r="L208" i="3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K205" i="3"/>
  <c r="J205" i="3"/>
  <c r="I205" i="3"/>
  <c r="H205" i="3"/>
  <c r="L204" i="3"/>
  <c r="K204" i="3"/>
  <c r="J204" i="3"/>
  <c r="I204" i="3"/>
  <c r="H204" i="3"/>
  <c r="L203" i="3"/>
  <c r="K203" i="3"/>
  <c r="J203" i="3"/>
  <c r="I203" i="3"/>
  <c r="H203" i="3"/>
  <c r="J202" i="3"/>
  <c r="H202" i="3"/>
  <c r="L201" i="3"/>
  <c r="K201" i="3"/>
  <c r="J201" i="3"/>
  <c r="I201" i="3"/>
  <c r="H201" i="3"/>
  <c r="L200" i="3"/>
  <c r="K200" i="3"/>
  <c r="J200" i="3"/>
  <c r="I200" i="3"/>
  <c r="H200" i="3"/>
  <c r="J199" i="3"/>
  <c r="H199" i="3"/>
  <c r="L198" i="3"/>
  <c r="K198" i="3"/>
  <c r="J198" i="3"/>
  <c r="I198" i="3"/>
  <c r="H198" i="3"/>
  <c r="L197" i="3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K194" i="3"/>
  <c r="J194" i="3"/>
  <c r="I194" i="3"/>
  <c r="H194" i="3"/>
  <c r="L193" i="3"/>
  <c r="K193" i="3"/>
  <c r="J193" i="3"/>
  <c r="I193" i="3"/>
  <c r="H193" i="3"/>
  <c r="J192" i="3"/>
  <c r="H192" i="3"/>
  <c r="L191" i="3"/>
  <c r="K191" i="3"/>
  <c r="J191" i="3"/>
  <c r="I191" i="3"/>
  <c r="H191" i="3"/>
  <c r="L190" i="3"/>
  <c r="K190" i="3"/>
  <c r="J190" i="3"/>
  <c r="I190" i="3"/>
  <c r="H190" i="3"/>
  <c r="L189" i="3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K182" i="3"/>
  <c r="J182" i="3"/>
  <c r="I182" i="3"/>
  <c r="H182" i="3"/>
  <c r="L181" i="3"/>
  <c r="K181" i="3"/>
  <c r="J181" i="3"/>
  <c r="I181" i="3"/>
  <c r="H181" i="3"/>
  <c r="L180" i="3"/>
  <c r="K180" i="3"/>
  <c r="J180" i="3"/>
  <c r="I180" i="3"/>
  <c r="H180" i="3"/>
  <c r="L179" i="3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K174" i="3"/>
  <c r="J174" i="3"/>
  <c r="I174" i="3"/>
  <c r="H174" i="3"/>
  <c r="L173" i="3"/>
  <c r="K173" i="3"/>
  <c r="J173" i="3"/>
  <c r="I173" i="3"/>
  <c r="H173" i="3"/>
  <c r="L172" i="3"/>
  <c r="K172" i="3"/>
  <c r="J172" i="3"/>
  <c r="I172" i="3"/>
  <c r="H172" i="3"/>
  <c r="L171" i="3"/>
  <c r="K171" i="3"/>
  <c r="J171" i="3"/>
  <c r="I171" i="3"/>
  <c r="H171" i="3"/>
  <c r="L170" i="3"/>
  <c r="K170" i="3"/>
  <c r="J170" i="3"/>
  <c r="I170" i="3"/>
  <c r="H170" i="3"/>
  <c r="L169" i="3"/>
  <c r="K169" i="3"/>
  <c r="J169" i="3"/>
  <c r="I169" i="3"/>
  <c r="H169" i="3"/>
  <c r="L167" i="3"/>
  <c r="K167" i="3"/>
  <c r="J167" i="3"/>
  <c r="I167" i="3"/>
  <c r="H167" i="3"/>
  <c r="L166" i="3"/>
  <c r="K166" i="3"/>
  <c r="J166" i="3"/>
  <c r="I166" i="3"/>
  <c r="H166" i="3"/>
  <c r="L165" i="3"/>
  <c r="K165" i="3"/>
  <c r="J165" i="3"/>
  <c r="I165" i="3"/>
  <c r="H165" i="3"/>
  <c r="L164" i="3"/>
  <c r="K164" i="3"/>
  <c r="J164" i="3"/>
  <c r="I164" i="3"/>
  <c r="H164" i="3"/>
  <c r="L163" i="3"/>
  <c r="K163" i="3"/>
  <c r="J163" i="3"/>
  <c r="I163" i="3"/>
  <c r="H163" i="3"/>
  <c r="L162" i="3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H160" i="3"/>
  <c r="L159" i="3"/>
  <c r="K159" i="3"/>
  <c r="J159" i="3"/>
  <c r="I159" i="3"/>
  <c r="H159" i="3"/>
  <c r="L158" i="3"/>
  <c r="K158" i="3"/>
  <c r="J158" i="3"/>
  <c r="I158" i="3"/>
  <c r="H158" i="3"/>
  <c r="L157" i="3"/>
  <c r="K157" i="3"/>
  <c r="J157" i="3"/>
  <c r="I157" i="3"/>
  <c r="H157" i="3"/>
  <c r="L156" i="3"/>
  <c r="K156" i="3"/>
  <c r="J156" i="3"/>
  <c r="I156" i="3"/>
  <c r="H156" i="3"/>
  <c r="L155" i="3"/>
  <c r="L154" i="3"/>
  <c r="K154" i="3"/>
  <c r="J154" i="3"/>
  <c r="I154" i="3"/>
  <c r="H154" i="3"/>
  <c r="J153" i="3"/>
  <c r="H153" i="3"/>
  <c r="L152" i="3"/>
  <c r="K152" i="3"/>
  <c r="J152" i="3"/>
  <c r="I152" i="3"/>
  <c r="H152" i="3"/>
  <c r="L151" i="3"/>
  <c r="K151" i="3"/>
  <c r="J151" i="3"/>
  <c r="I151" i="3"/>
  <c r="H151" i="3"/>
  <c r="L150" i="3"/>
  <c r="K150" i="3"/>
  <c r="J150" i="3"/>
  <c r="I150" i="3"/>
  <c r="H150" i="3"/>
  <c r="L149" i="3"/>
  <c r="K149" i="3"/>
  <c r="J149" i="3"/>
  <c r="I149" i="3"/>
  <c r="H149" i="3"/>
  <c r="L148" i="3"/>
  <c r="K148" i="3"/>
  <c r="J148" i="3"/>
  <c r="I148" i="3"/>
  <c r="H148" i="3"/>
  <c r="L147" i="3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K144" i="3"/>
  <c r="J144" i="3"/>
  <c r="I144" i="3"/>
  <c r="H144" i="3"/>
  <c r="L143" i="3"/>
  <c r="K143" i="3"/>
  <c r="J143" i="3"/>
  <c r="I143" i="3"/>
  <c r="H143" i="3"/>
  <c r="L142" i="3"/>
  <c r="K142" i="3"/>
  <c r="J142" i="3"/>
  <c r="I142" i="3"/>
  <c r="H142" i="3"/>
  <c r="L141" i="3"/>
  <c r="K141" i="3"/>
  <c r="J141" i="3"/>
  <c r="I141" i="3"/>
  <c r="H141" i="3"/>
  <c r="L140" i="3"/>
  <c r="K140" i="3"/>
  <c r="J140" i="3"/>
  <c r="I140" i="3"/>
  <c r="H140" i="3"/>
  <c r="L139" i="3"/>
  <c r="K139" i="3"/>
  <c r="J139" i="3"/>
  <c r="I139" i="3"/>
  <c r="H139" i="3"/>
  <c r="L138" i="3"/>
  <c r="K138" i="3"/>
  <c r="J138" i="3"/>
  <c r="I138" i="3"/>
  <c r="H138" i="3"/>
  <c r="L137" i="3"/>
  <c r="K137" i="3"/>
  <c r="J137" i="3"/>
  <c r="I137" i="3"/>
  <c r="H137" i="3"/>
  <c r="L136" i="3"/>
  <c r="K136" i="3"/>
  <c r="J136" i="3"/>
  <c r="I136" i="3"/>
  <c r="H136" i="3"/>
  <c r="L135" i="3"/>
  <c r="K135" i="3"/>
  <c r="J135" i="3"/>
  <c r="I135" i="3"/>
  <c r="H135" i="3"/>
  <c r="L134" i="3"/>
  <c r="K134" i="3"/>
  <c r="J134" i="3"/>
  <c r="I134" i="3"/>
  <c r="H134" i="3"/>
  <c r="L133" i="3"/>
  <c r="K133" i="3"/>
  <c r="J133" i="3"/>
  <c r="I133" i="3"/>
  <c r="H133" i="3"/>
  <c r="L132" i="3"/>
  <c r="K132" i="3"/>
  <c r="J132" i="3"/>
  <c r="I132" i="3"/>
  <c r="H132" i="3"/>
  <c r="L131" i="3"/>
  <c r="K131" i="3"/>
  <c r="J131" i="3"/>
  <c r="I131" i="3"/>
  <c r="H131" i="3"/>
  <c r="L130" i="3"/>
  <c r="K130" i="3"/>
  <c r="J130" i="3"/>
  <c r="I130" i="3"/>
  <c r="H130" i="3"/>
  <c r="L129" i="3"/>
  <c r="K129" i="3"/>
  <c r="J129" i="3"/>
  <c r="I129" i="3"/>
  <c r="H129" i="3"/>
  <c r="L128" i="3"/>
  <c r="K128" i="3"/>
  <c r="J128" i="3"/>
  <c r="I128" i="3"/>
  <c r="H128" i="3"/>
  <c r="L127" i="3"/>
  <c r="K127" i="3"/>
  <c r="J127" i="3"/>
  <c r="I127" i="3"/>
  <c r="H127" i="3"/>
  <c r="L126" i="3"/>
  <c r="K126" i="3"/>
  <c r="J126" i="3"/>
  <c r="I126" i="3"/>
  <c r="H126" i="3"/>
  <c r="L125" i="3"/>
  <c r="K125" i="3"/>
  <c r="J125" i="3"/>
  <c r="I125" i="3"/>
  <c r="H125" i="3"/>
  <c r="L124" i="3"/>
  <c r="K124" i="3"/>
  <c r="J124" i="3"/>
  <c r="I124" i="3"/>
  <c r="H124" i="3"/>
  <c r="L123" i="3"/>
  <c r="K123" i="3"/>
  <c r="J123" i="3"/>
  <c r="I123" i="3"/>
  <c r="H123" i="3"/>
  <c r="L122" i="3"/>
  <c r="K122" i="3"/>
  <c r="J122" i="3"/>
  <c r="I122" i="3"/>
  <c r="H122" i="3"/>
  <c r="L121" i="3"/>
  <c r="K121" i="3"/>
  <c r="J121" i="3"/>
  <c r="I121" i="3"/>
  <c r="H121" i="3"/>
  <c r="L120" i="3"/>
  <c r="K120" i="3"/>
  <c r="J120" i="3"/>
  <c r="I120" i="3"/>
  <c r="H120" i="3"/>
  <c r="L119" i="3"/>
  <c r="K119" i="3"/>
  <c r="J119" i="3"/>
  <c r="I119" i="3"/>
  <c r="H119" i="3"/>
  <c r="L118" i="3"/>
  <c r="K118" i="3"/>
  <c r="J118" i="3"/>
  <c r="I118" i="3"/>
  <c r="H118" i="3"/>
  <c r="L117" i="3"/>
  <c r="K117" i="3"/>
  <c r="J117" i="3"/>
  <c r="I117" i="3"/>
  <c r="H117" i="3"/>
  <c r="L116" i="3"/>
  <c r="K116" i="3"/>
  <c r="J116" i="3"/>
  <c r="I116" i="3"/>
  <c r="H116" i="3"/>
  <c r="L115" i="3"/>
  <c r="K115" i="3"/>
  <c r="J115" i="3"/>
  <c r="I115" i="3"/>
  <c r="H115" i="3"/>
  <c r="L114" i="3"/>
  <c r="K114" i="3"/>
  <c r="J114" i="3"/>
  <c r="I114" i="3"/>
  <c r="H114" i="3"/>
  <c r="L113" i="3"/>
  <c r="K113" i="3"/>
  <c r="J113" i="3"/>
  <c r="I113" i="3"/>
  <c r="H113" i="3"/>
  <c r="L112" i="3"/>
  <c r="K112" i="3"/>
  <c r="J112" i="3"/>
  <c r="I112" i="3"/>
  <c r="H112" i="3"/>
  <c r="L111" i="3"/>
  <c r="K111" i="3"/>
  <c r="J111" i="3"/>
  <c r="I111" i="3"/>
  <c r="H111" i="3"/>
  <c r="L110" i="3"/>
  <c r="K110" i="3"/>
  <c r="J110" i="3"/>
  <c r="I110" i="3"/>
  <c r="H110" i="3"/>
  <c r="J109" i="3"/>
  <c r="H109" i="3"/>
  <c r="J108" i="3"/>
  <c r="H108" i="3"/>
  <c r="L107" i="3"/>
  <c r="K107" i="3"/>
  <c r="J107" i="3"/>
  <c r="I107" i="3"/>
  <c r="H107" i="3"/>
  <c r="L106" i="3"/>
  <c r="K106" i="3"/>
  <c r="J106" i="3"/>
  <c r="I106" i="3"/>
  <c r="H106" i="3"/>
  <c r="L105" i="3"/>
  <c r="K105" i="3"/>
  <c r="J105" i="3"/>
  <c r="I105" i="3"/>
  <c r="H105" i="3"/>
  <c r="L104" i="3"/>
  <c r="K104" i="3"/>
  <c r="J104" i="3"/>
  <c r="I104" i="3"/>
  <c r="H104" i="3"/>
  <c r="J103" i="3"/>
  <c r="H103" i="3"/>
  <c r="L102" i="3"/>
  <c r="K102" i="3"/>
  <c r="J102" i="3"/>
  <c r="I102" i="3"/>
  <c r="H102" i="3"/>
  <c r="L101" i="3"/>
  <c r="K101" i="3"/>
  <c r="J101" i="3"/>
  <c r="I101" i="3"/>
  <c r="H101" i="3"/>
  <c r="L100" i="3"/>
  <c r="K100" i="3"/>
  <c r="J100" i="3"/>
  <c r="I100" i="3"/>
  <c r="H100" i="3"/>
  <c r="L99" i="3"/>
  <c r="K99" i="3"/>
  <c r="J99" i="3"/>
  <c r="I99" i="3"/>
  <c r="H99" i="3"/>
  <c r="J98" i="3"/>
  <c r="H98" i="3"/>
  <c r="J97" i="3"/>
  <c r="H97" i="3"/>
  <c r="L96" i="3"/>
  <c r="K96" i="3"/>
  <c r="J96" i="3"/>
  <c r="I96" i="3"/>
  <c r="H96" i="3"/>
  <c r="L95" i="3"/>
  <c r="K95" i="3"/>
  <c r="J95" i="3"/>
  <c r="I95" i="3"/>
  <c r="H95" i="3"/>
  <c r="L94" i="3"/>
  <c r="K94" i="3"/>
  <c r="J94" i="3"/>
  <c r="I94" i="3"/>
  <c r="H94" i="3"/>
  <c r="L93" i="3"/>
  <c r="K93" i="3"/>
  <c r="J93" i="3"/>
  <c r="I93" i="3"/>
  <c r="H93" i="3"/>
  <c r="L92" i="3"/>
  <c r="K92" i="3"/>
  <c r="J92" i="3"/>
  <c r="I92" i="3"/>
  <c r="H92" i="3"/>
  <c r="L91" i="3"/>
  <c r="K91" i="3"/>
  <c r="J91" i="3"/>
  <c r="I91" i="3"/>
  <c r="H91" i="3"/>
  <c r="L90" i="3"/>
  <c r="K90" i="3"/>
  <c r="J90" i="3"/>
  <c r="I90" i="3"/>
  <c r="H90" i="3"/>
  <c r="L89" i="3"/>
  <c r="K89" i="3"/>
  <c r="J89" i="3"/>
  <c r="I89" i="3"/>
  <c r="H89" i="3"/>
  <c r="L88" i="3"/>
  <c r="K88" i="3"/>
  <c r="J88" i="3"/>
  <c r="I88" i="3"/>
  <c r="H88" i="3"/>
  <c r="L87" i="3"/>
  <c r="K87" i="3"/>
  <c r="J87" i="3"/>
  <c r="I87" i="3"/>
  <c r="H87" i="3"/>
  <c r="J86" i="3"/>
  <c r="H86" i="3"/>
  <c r="L85" i="3"/>
  <c r="K85" i="3"/>
  <c r="J85" i="3"/>
  <c r="I85" i="3"/>
  <c r="H85" i="3"/>
  <c r="L84" i="3"/>
  <c r="K84" i="3"/>
  <c r="J84" i="3"/>
  <c r="I84" i="3"/>
  <c r="H84" i="3"/>
  <c r="J83" i="3"/>
  <c r="H83" i="3"/>
  <c r="J82" i="3"/>
  <c r="H82" i="3"/>
  <c r="L81" i="3"/>
  <c r="K81" i="3"/>
  <c r="J81" i="3"/>
  <c r="I81" i="3"/>
  <c r="H81" i="3"/>
  <c r="L80" i="3"/>
  <c r="K80" i="3"/>
  <c r="J80" i="3"/>
  <c r="I80" i="3"/>
  <c r="H80" i="3"/>
  <c r="L79" i="3"/>
  <c r="K79" i="3"/>
  <c r="J79" i="3"/>
  <c r="I79" i="3"/>
  <c r="H79" i="3"/>
  <c r="L78" i="3"/>
  <c r="K78" i="3"/>
  <c r="J78" i="3"/>
  <c r="I78" i="3"/>
  <c r="H78" i="3"/>
  <c r="L77" i="3"/>
  <c r="K77" i="3"/>
  <c r="J77" i="3"/>
  <c r="I77" i="3"/>
  <c r="H77" i="3"/>
  <c r="L76" i="3"/>
  <c r="K76" i="3"/>
  <c r="J76" i="3"/>
  <c r="I76" i="3"/>
  <c r="H76" i="3"/>
  <c r="L75" i="3"/>
  <c r="K75" i="3"/>
  <c r="J75" i="3"/>
  <c r="I75" i="3"/>
  <c r="H75" i="3"/>
  <c r="L74" i="3"/>
  <c r="K74" i="3"/>
  <c r="J74" i="3"/>
  <c r="I74" i="3"/>
  <c r="H74" i="3"/>
  <c r="L73" i="3"/>
  <c r="K73" i="3"/>
  <c r="J73" i="3"/>
  <c r="I73" i="3"/>
  <c r="H73" i="3"/>
  <c r="J72" i="3"/>
  <c r="H72" i="3"/>
  <c r="L71" i="3"/>
  <c r="K71" i="3"/>
  <c r="J71" i="3"/>
  <c r="I71" i="3"/>
  <c r="H71" i="3"/>
  <c r="L70" i="3"/>
  <c r="K70" i="3"/>
  <c r="J70" i="3"/>
  <c r="I70" i="3"/>
  <c r="H70" i="3"/>
  <c r="L69" i="3"/>
  <c r="K69" i="3"/>
  <c r="J69" i="3"/>
  <c r="I69" i="3"/>
  <c r="H69" i="3"/>
  <c r="L68" i="3"/>
  <c r="K68" i="3"/>
  <c r="J68" i="3"/>
  <c r="I68" i="3"/>
  <c r="H68" i="3"/>
  <c r="XFD67" i="3"/>
  <c r="L67" i="3"/>
  <c r="K67" i="3"/>
  <c r="J67" i="3"/>
  <c r="I67" i="3"/>
  <c r="H67" i="3"/>
  <c r="L66" i="3"/>
  <c r="K66" i="3"/>
  <c r="J66" i="3"/>
  <c r="I66" i="3"/>
  <c r="H66" i="3"/>
  <c r="L65" i="3"/>
  <c r="K65" i="3"/>
  <c r="J65" i="3"/>
  <c r="I65" i="3"/>
  <c r="H65" i="3"/>
  <c r="L64" i="3"/>
  <c r="K64" i="3"/>
  <c r="J64" i="3"/>
  <c r="I64" i="3"/>
  <c r="H64" i="3"/>
  <c r="L63" i="3"/>
  <c r="K63" i="3"/>
  <c r="J63" i="3"/>
  <c r="I63" i="3"/>
  <c r="H63" i="3"/>
  <c r="L62" i="3"/>
  <c r="K62" i="3"/>
  <c r="J62" i="3"/>
  <c r="I62" i="3"/>
  <c r="H62" i="3"/>
  <c r="L61" i="3"/>
  <c r="K61" i="3"/>
  <c r="J61" i="3"/>
  <c r="I61" i="3"/>
  <c r="H61" i="3"/>
  <c r="J60" i="3"/>
  <c r="H60" i="3"/>
  <c r="L59" i="3"/>
  <c r="K59" i="3"/>
  <c r="J59" i="3"/>
  <c r="I59" i="3"/>
  <c r="H59" i="3"/>
  <c r="L58" i="3"/>
  <c r="K58" i="3"/>
  <c r="J58" i="3"/>
  <c r="I58" i="3"/>
  <c r="H58" i="3"/>
  <c r="L57" i="3"/>
  <c r="K57" i="3"/>
  <c r="J57" i="3"/>
  <c r="I57" i="3"/>
  <c r="H57" i="3"/>
  <c r="L56" i="3"/>
  <c r="K56" i="3"/>
  <c r="J56" i="3"/>
  <c r="I56" i="3"/>
  <c r="H56" i="3"/>
  <c r="L55" i="3"/>
  <c r="K55" i="3"/>
  <c r="J55" i="3"/>
  <c r="I55" i="3"/>
  <c r="H55" i="3"/>
  <c r="L54" i="3"/>
  <c r="K54" i="3"/>
  <c r="J54" i="3"/>
  <c r="I54" i="3"/>
  <c r="H54" i="3"/>
  <c r="L53" i="3"/>
  <c r="K53" i="3"/>
  <c r="J53" i="3"/>
  <c r="I53" i="3"/>
  <c r="H53" i="3"/>
  <c r="L52" i="3"/>
  <c r="K52" i="3"/>
  <c r="J52" i="3"/>
  <c r="I52" i="3"/>
  <c r="H52" i="3"/>
  <c r="L51" i="3"/>
  <c r="K51" i="3"/>
  <c r="J51" i="3"/>
  <c r="I51" i="3"/>
  <c r="H51" i="3"/>
  <c r="L50" i="3"/>
  <c r="K50" i="3"/>
  <c r="J50" i="3"/>
  <c r="I50" i="3"/>
  <c r="H50" i="3"/>
  <c r="L49" i="3"/>
  <c r="K49" i="3"/>
  <c r="J49" i="3"/>
  <c r="I49" i="3"/>
  <c r="H49" i="3"/>
  <c r="L48" i="3"/>
  <c r="K48" i="3"/>
  <c r="J48" i="3"/>
  <c r="I48" i="3"/>
  <c r="H48" i="3"/>
  <c r="L47" i="3"/>
  <c r="K47" i="3"/>
  <c r="J47" i="3"/>
  <c r="I47" i="3"/>
  <c r="H47" i="3"/>
  <c r="L46" i="3"/>
  <c r="K46" i="3"/>
  <c r="J46" i="3"/>
  <c r="I46" i="3"/>
  <c r="H46" i="3"/>
  <c r="L45" i="3"/>
  <c r="K45" i="3"/>
  <c r="J45" i="3"/>
  <c r="I45" i="3"/>
  <c r="H45" i="3"/>
  <c r="L44" i="3"/>
  <c r="K44" i="3"/>
  <c r="J44" i="3"/>
  <c r="I44" i="3"/>
  <c r="H44" i="3"/>
  <c r="L43" i="3"/>
  <c r="K43" i="3"/>
  <c r="J43" i="3"/>
  <c r="I43" i="3"/>
  <c r="H43" i="3"/>
  <c r="L42" i="3"/>
  <c r="K42" i="3"/>
  <c r="J42" i="3"/>
  <c r="I42" i="3"/>
  <c r="H42" i="3"/>
  <c r="L41" i="3"/>
  <c r="K41" i="3"/>
  <c r="J41" i="3"/>
  <c r="I41" i="3"/>
  <c r="H41" i="3"/>
  <c r="L40" i="3"/>
  <c r="K40" i="3"/>
  <c r="J40" i="3"/>
  <c r="I40" i="3"/>
  <c r="H40" i="3"/>
  <c r="J39" i="3"/>
  <c r="H39" i="3"/>
  <c r="L38" i="3"/>
  <c r="K38" i="3"/>
  <c r="J38" i="3"/>
  <c r="I38" i="3"/>
  <c r="H38" i="3"/>
  <c r="L37" i="3"/>
  <c r="K37" i="3"/>
  <c r="J37" i="3"/>
  <c r="I37" i="3"/>
  <c r="H37" i="3"/>
  <c r="L36" i="3"/>
  <c r="K36" i="3"/>
  <c r="J36" i="3"/>
  <c r="I36" i="3"/>
  <c r="H36" i="3"/>
  <c r="L35" i="3"/>
  <c r="K35" i="3"/>
  <c r="J35" i="3"/>
  <c r="I35" i="3"/>
  <c r="H35" i="3"/>
  <c r="L34" i="3"/>
  <c r="K34" i="3"/>
  <c r="J34" i="3"/>
  <c r="I34" i="3"/>
  <c r="H34" i="3"/>
  <c r="J33" i="3"/>
  <c r="H33" i="3"/>
  <c r="L32" i="3"/>
  <c r="K32" i="3"/>
  <c r="J32" i="3"/>
  <c r="I32" i="3"/>
  <c r="H32" i="3"/>
  <c r="L31" i="3"/>
  <c r="K31" i="3"/>
  <c r="J31" i="3"/>
  <c r="I31" i="3"/>
  <c r="H31" i="3"/>
  <c r="L30" i="3"/>
  <c r="K30" i="3"/>
  <c r="J30" i="3"/>
  <c r="I30" i="3"/>
  <c r="H30" i="3"/>
  <c r="L29" i="3"/>
  <c r="K29" i="3"/>
  <c r="J29" i="3"/>
  <c r="I29" i="3"/>
  <c r="H29" i="3"/>
  <c r="L28" i="3"/>
  <c r="K28" i="3"/>
  <c r="J28" i="3"/>
  <c r="I28" i="3"/>
  <c r="H28" i="3"/>
  <c r="L27" i="3"/>
  <c r="K27" i="3"/>
  <c r="J27" i="3"/>
  <c r="I27" i="3"/>
  <c r="H27" i="3"/>
  <c r="L26" i="3"/>
  <c r="K26" i="3"/>
  <c r="J26" i="3"/>
  <c r="I26" i="3"/>
  <c r="H26" i="3"/>
  <c r="L25" i="3"/>
  <c r="K25" i="3"/>
  <c r="J25" i="3"/>
  <c r="I25" i="3"/>
  <c r="H25" i="3"/>
  <c r="L24" i="3"/>
  <c r="K24" i="3"/>
  <c r="J24" i="3"/>
  <c r="I24" i="3"/>
  <c r="H24" i="3"/>
  <c r="L23" i="3"/>
  <c r="K23" i="3"/>
  <c r="J23" i="3"/>
  <c r="I23" i="3"/>
  <c r="H23" i="3"/>
  <c r="L22" i="3"/>
  <c r="K22" i="3"/>
  <c r="J22" i="3"/>
  <c r="I22" i="3"/>
  <c r="H22" i="3"/>
  <c r="L21" i="3"/>
  <c r="K21" i="3"/>
  <c r="J21" i="3"/>
  <c r="I21" i="3"/>
  <c r="H21" i="3"/>
  <c r="L20" i="3"/>
  <c r="K20" i="3"/>
  <c r="J20" i="3"/>
  <c r="I20" i="3"/>
  <c r="H20" i="3"/>
  <c r="L19" i="3"/>
  <c r="K19" i="3"/>
  <c r="J19" i="3"/>
  <c r="I19" i="3"/>
  <c r="H19" i="3"/>
  <c r="J18" i="3"/>
  <c r="H18" i="3"/>
  <c r="L17" i="3"/>
  <c r="K17" i="3"/>
  <c r="J17" i="3"/>
  <c r="I17" i="3"/>
  <c r="H17" i="3"/>
  <c r="L16" i="3"/>
  <c r="K16" i="3"/>
  <c r="J16" i="3"/>
  <c r="I16" i="3"/>
  <c r="H16" i="3"/>
  <c r="L15" i="3"/>
  <c r="K15" i="3"/>
  <c r="J15" i="3"/>
  <c r="I15" i="3"/>
  <c r="H15" i="3"/>
  <c r="L14" i="3"/>
  <c r="K14" i="3"/>
  <c r="J14" i="3"/>
  <c r="I14" i="3"/>
  <c r="H14" i="3"/>
  <c r="L13" i="3"/>
  <c r="K13" i="3"/>
  <c r="J13" i="3"/>
  <c r="I13" i="3"/>
  <c r="H13" i="3"/>
  <c r="L12" i="3"/>
  <c r="K12" i="3"/>
  <c r="J12" i="3"/>
  <c r="I12" i="3"/>
  <c r="H12" i="3"/>
  <c r="L11" i="3"/>
  <c r="K11" i="3"/>
  <c r="J11" i="3"/>
  <c r="I11" i="3"/>
  <c r="H11" i="3"/>
  <c r="L10" i="3"/>
  <c r="K10" i="3"/>
  <c r="J10" i="3"/>
  <c r="I10" i="3"/>
  <c r="H10" i="3"/>
  <c r="L9" i="3"/>
  <c r="K9" i="3"/>
  <c r="J9" i="3"/>
  <c r="I9" i="3"/>
  <c r="H9" i="3"/>
  <c r="L8" i="3"/>
  <c r="K8" i="3"/>
  <c r="J8" i="3"/>
  <c r="I8" i="3"/>
  <c r="H8" i="3"/>
  <c r="L7" i="3"/>
  <c r="K7" i="3"/>
  <c r="J7" i="3"/>
  <c r="I7" i="3"/>
  <c r="H7" i="3"/>
  <c r="L205" i="2"/>
  <c r="L204" i="2"/>
  <c r="K204" i="2"/>
  <c r="J204" i="2"/>
  <c r="I204" i="2"/>
  <c r="H204" i="2"/>
  <c r="L203" i="2"/>
  <c r="K203" i="2"/>
  <c r="J203" i="2"/>
  <c r="I203" i="2"/>
  <c r="H203" i="2"/>
  <c r="L202" i="2"/>
  <c r="K202" i="2"/>
  <c r="J202" i="2"/>
  <c r="I202" i="2"/>
  <c r="H202" i="2"/>
  <c r="L201" i="2"/>
  <c r="K201" i="2"/>
  <c r="J201" i="2"/>
  <c r="I201" i="2"/>
  <c r="H201" i="2"/>
  <c r="L200" i="2"/>
  <c r="K200" i="2"/>
  <c r="J200" i="2"/>
  <c r="I200" i="2"/>
  <c r="H200" i="2"/>
  <c r="L199" i="2"/>
  <c r="K199" i="2"/>
  <c r="J199" i="2"/>
  <c r="I199" i="2"/>
  <c r="H199" i="2"/>
  <c r="L198" i="2"/>
  <c r="K198" i="2"/>
  <c r="J198" i="2"/>
  <c r="I198" i="2"/>
  <c r="H198" i="2"/>
  <c r="L197" i="2"/>
  <c r="K197" i="2"/>
  <c r="J197" i="2"/>
  <c r="I197" i="2"/>
  <c r="H197" i="2"/>
  <c r="L196" i="2"/>
  <c r="K196" i="2"/>
  <c r="J196" i="2"/>
  <c r="I196" i="2"/>
  <c r="H196" i="2"/>
  <c r="L195" i="2"/>
  <c r="K195" i="2"/>
  <c r="J195" i="2"/>
  <c r="I195" i="2"/>
  <c r="H195" i="2"/>
  <c r="L194" i="2"/>
  <c r="K194" i="2"/>
  <c r="J194" i="2"/>
  <c r="I194" i="2"/>
  <c r="H194" i="2"/>
  <c r="L193" i="2"/>
  <c r="K193" i="2"/>
  <c r="J193" i="2"/>
  <c r="I193" i="2"/>
  <c r="H193" i="2"/>
  <c r="L192" i="2"/>
  <c r="K192" i="2"/>
  <c r="J192" i="2"/>
  <c r="I192" i="2"/>
  <c r="H192" i="2"/>
  <c r="L187" i="2"/>
  <c r="K187" i="2"/>
  <c r="J187" i="2"/>
  <c r="I187" i="2"/>
  <c r="H187" i="2"/>
  <c r="J186" i="2"/>
  <c r="H186" i="2"/>
  <c r="L185" i="2"/>
  <c r="K185" i="2"/>
  <c r="J185" i="2"/>
  <c r="I185" i="2"/>
  <c r="H185" i="2"/>
  <c r="L184" i="2"/>
  <c r="K184" i="2"/>
  <c r="J184" i="2"/>
  <c r="I184" i="2"/>
  <c r="H184" i="2"/>
  <c r="L183" i="2"/>
  <c r="K183" i="2"/>
  <c r="J183" i="2"/>
  <c r="I183" i="2"/>
  <c r="H183" i="2"/>
  <c r="L182" i="2"/>
  <c r="K182" i="2"/>
  <c r="J182" i="2"/>
  <c r="I182" i="2"/>
  <c r="H182" i="2"/>
  <c r="L181" i="2"/>
  <c r="K181" i="2"/>
  <c r="J181" i="2"/>
  <c r="I181" i="2"/>
  <c r="H181" i="2"/>
  <c r="L180" i="2"/>
  <c r="K180" i="2"/>
  <c r="J180" i="2"/>
  <c r="I180" i="2"/>
  <c r="H180" i="2"/>
  <c r="L179" i="2"/>
  <c r="K179" i="2"/>
  <c r="J179" i="2"/>
  <c r="I179" i="2"/>
  <c r="H179" i="2"/>
  <c r="L178" i="2"/>
  <c r="K178" i="2"/>
  <c r="J178" i="2"/>
  <c r="I178" i="2"/>
  <c r="H178" i="2"/>
  <c r="L177" i="2"/>
  <c r="K177" i="2"/>
  <c r="J177" i="2"/>
  <c r="I177" i="2"/>
  <c r="H177" i="2"/>
  <c r="L176" i="2"/>
  <c r="K176" i="2"/>
  <c r="J176" i="2"/>
  <c r="I176" i="2"/>
  <c r="H176" i="2"/>
  <c r="L175" i="2"/>
  <c r="K175" i="2"/>
  <c r="J175" i="2"/>
  <c r="I175" i="2"/>
  <c r="H175" i="2"/>
  <c r="L174" i="2"/>
  <c r="K174" i="2"/>
  <c r="J174" i="2"/>
  <c r="I174" i="2"/>
  <c r="H174" i="2"/>
  <c r="L173" i="2"/>
  <c r="K173" i="2"/>
  <c r="J173" i="2"/>
  <c r="I173" i="2"/>
  <c r="H173" i="2"/>
  <c r="L172" i="2"/>
  <c r="K172" i="2"/>
  <c r="J172" i="2"/>
  <c r="I172" i="2"/>
  <c r="H172" i="2"/>
  <c r="L171" i="2"/>
  <c r="K171" i="2"/>
  <c r="J171" i="2"/>
  <c r="I171" i="2"/>
  <c r="H171" i="2"/>
  <c r="L170" i="2"/>
  <c r="K170" i="2"/>
  <c r="J170" i="2"/>
  <c r="I170" i="2"/>
  <c r="H170" i="2"/>
  <c r="L169" i="2"/>
  <c r="K169" i="2"/>
  <c r="J169" i="2"/>
  <c r="I169" i="2"/>
  <c r="H169" i="2"/>
  <c r="L168" i="2"/>
  <c r="K168" i="2"/>
  <c r="J168" i="2"/>
  <c r="I168" i="2"/>
  <c r="H168" i="2"/>
  <c r="L167" i="2"/>
  <c r="K167" i="2"/>
  <c r="J167" i="2"/>
  <c r="I167" i="2"/>
  <c r="H167" i="2"/>
  <c r="L166" i="2"/>
  <c r="K166" i="2"/>
  <c r="J166" i="2"/>
  <c r="I166" i="2"/>
  <c r="H166" i="2"/>
  <c r="L165" i="2"/>
  <c r="K165" i="2"/>
  <c r="J165" i="2"/>
  <c r="I165" i="2"/>
  <c r="H165" i="2"/>
  <c r="L164" i="2"/>
  <c r="K164" i="2"/>
  <c r="J164" i="2"/>
  <c r="I164" i="2"/>
  <c r="H164" i="2"/>
  <c r="L163" i="2"/>
  <c r="K163" i="2"/>
  <c r="J163" i="2"/>
  <c r="I163" i="2"/>
  <c r="H163" i="2"/>
  <c r="L162" i="2"/>
  <c r="K162" i="2"/>
  <c r="J162" i="2"/>
  <c r="I162" i="2"/>
  <c r="H162" i="2"/>
  <c r="L161" i="2"/>
  <c r="K161" i="2"/>
  <c r="J161" i="2"/>
  <c r="I161" i="2"/>
  <c r="H161" i="2"/>
  <c r="L160" i="2"/>
  <c r="K160" i="2"/>
  <c r="J160" i="2"/>
  <c r="I160" i="2"/>
  <c r="H160" i="2"/>
  <c r="L159" i="2"/>
  <c r="K159" i="2"/>
  <c r="J159" i="2"/>
  <c r="I159" i="2"/>
  <c r="H159" i="2"/>
  <c r="L158" i="2"/>
  <c r="K158" i="2"/>
  <c r="J158" i="2"/>
  <c r="I158" i="2"/>
  <c r="H158" i="2"/>
  <c r="L157" i="2"/>
  <c r="K157" i="2"/>
  <c r="J157" i="2"/>
  <c r="I157" i="2"/>
  <c r="H157" i="2"/>
  <c r="L156" i="2"/>
  <c r="K156" i="2"/>
  <c r="J156" i="2"/>
  <c r="I156" i="2"/>
  <c r="H156" i="2"/>
  <c r="L155" i="2"/>
  <c r="K155" i="2"/>
  <c r="J155" i="2"/>
  <c r="I155" i="2"/>
  <c r="H155" i="2"/>
  <c r="L154" i="2"/>
  <c r="K154" i="2"/>
  <c r="J154" i="2"/>
  <c r="I154" i="2"/>
  <c r="H154" i="2"/>
  <c r="L153" i="2"/>
  <c r="K153" i="2"/>
  <c r="J153" i="2"/>
  <c r="I153" i="2"/>
  <c r="H153" i="2"/>
  <c r="L152" i="2"/>
  <c r="K152" i="2"/>
  <c r="J152" i="2"/>
  <c r="I152" i="2"/>
  <c r="H152" i="2"/>
  <c r="L151" i="2"/>
  <c r="K151" i="2"/>
  <c r="J151" i="2"/>
  <c r="I151" i="2"/>
  <c r="H151" i="2"/>
  <c r="L150" i="2"/>
  <c r="K150" i="2"/>
  <c r="J150" i="2"/>
  <c r="I150" i="2"/>
  <c r="H150" i="2"/>
  <c r="L149" i="2"/>
  <c r="K149" i="2"/>
  <c r="J149" i="2"/>
  <c r="I149" i="2"/>
  <c r="H149" i="2"/>
  <c r="L148" i="2"/>
  <c r="K148" i="2"/>
  <c r="J148" i="2"/>
  <c r="I148" i="2"/>
  <c r="H148" i="2"/>
  <c r="L147" i="2"/>
  <c r="K147" i="2"/>
  <c r="J147" i="2"/>
  <c r="I147" i="2"/>
  <c r="H147" i="2"/>
  <c r="L146" i="2"/>
  <c r="K146" i="2"/>
  <c r="J146" i="2"/>
  <c r="I146" i="2"/>
  <c r="H146" i="2"/>
  <c r="L145" i="2"/>
  <c r="K145" i="2"/>
  <c r="J145" i="2"/>
  <c r="I145" i="2"/>
  <c r="H145" i="2"/>
  <c r="L144" i="2"/>
  <c r="K144" i="2"/>
  <c r="J144" i="2"/>
  <c r="I144" i="2"/>
  <c r="H144" i="2"/>
  <c r="L143" i="2"/>
  <c r="K143" i="2"/>
  <c r="J143" i="2"/>
  <c r="I143" i="2"/>
  <c r="H143" i="2"/>
  <c r="L142" i="2"/>
  <c r="K142" i="2"/>
  <c r="J142" i="2"/>
  <c r="I142" i="2"/>
  <c r="H142" i="2"/>
  <c r="L141" i="2"/>
  <c r="K141" i="2"/>
  <c r="J141" i="2"/>
  <c r="I141" i="2"/>
  <c r="H141" i="2"/>
  <c r="L140" i="2"/>
  <c r="K140" i="2"/>
  <c r="J140" i="2"/>
  <c r="I140" i="2"/>
  <c r="H140" i="2"/>
  <c r="L139" i="2"/>
  <c r="K139" i="2"/>
  <c r="J139" i="2"/>
  <c r="I139" i="2"/>
  <c r="H139" i="2"/>
  <c r="L138" i="2"/>
  <c r="K138" i="2"/>
  <c r="J138" i="2"/>
  <c r="I138" i="2"/>
  <c r="H138" i="2"/>
  <c r="L137" i="2"/>
  <c r="K137" i="2"/>
  <c r="J137" i="2"/>
  <c r="I137" i="2"/>
  <c r="H137" i="2"/>
  <c r="L136" i="2"/>
  <c r="K136" i="2"/>
  <c r="J136" i="2"/>
  <c r="I136" i="2"/>
  <c r="H136" i="2"/>
  <c r="L135" i="2"/>
  <c r="K135" i="2"/>
  <c r="J135" i="2"/>
  <c r="I135" i="2"/>
  <c r="H135" i="2"/>
  <c r="L134" i="2"/>
  <c r="K134" i="2"/>
  <c r="J134" i="2"/>
  <c r="I134" i="2"/>
  <c r="H134" i="2"/>
  <c r="L133" i="2"/>
  <c r="K133" i="2"/>
  <c r="J133" i="2"/>
  <c r="I133" i="2"/>
  <c r="H133" i="2"/>
  <c r="L132" i="2"/>
  <c r="K132" i="2"/>
  <c r="J132" i="2"/>
  <c r="I132" i="2"/>
  <c r="H132" i="2"/>
  <c r="L131" i="2"/>
  <c r="K131" i="2"/>
  <c r="J131" i="2"/>
  <c r="I131" i="2"/>
  <c r="H131" i="2"/>
  <c r="L130" i="2"/>
  <c r="K130" i="2"/>
  <c r="J130" i="2"/>
  <c r="I130" i="2"/>
  <c r="H130" i="2"/>
  <c r="L129" i="2"/>
  <c r="K129" i="2"/>
  <c r="J129" i="2"/>
  <c r="I129" i="2"/>
  <c r="H129" i="2"/>
  <c r="L128" i="2"/>
  <c r="K128" i="2"/>
  <c r="J128" i="2"/>
  <c r="I128" i="2"/>
  <c r="H128" i="2"/>
  <c r="L127" i="2"/>
  <c r="K127" i="2"/>
  <c r="J127" i="2"/>
  <c r="I127" i="2"/>
  <c r="H127" i="2"/>
  <c r="L126" i="2"/>
  <c r="K126" i="2"/>
  <c r="J126" i="2"/>
  <c r="I126" i="2"/>
  <c r="H126" i="2"/>
  <c r="L125" i="2"/>
  <c r="K125" i="2"/>
  <c r="J125" i="2"/>
  <c r="I125" i="2"/>
  <c r="H125" i="2"/>
  <c r="L124" i="2"/>
  <c r="K124" i="2"/>
  <c r="J124" i="2"/>
  <c r="I124" i="2"/>
  <c r="H124" i="2"/>
  <c r="L123" i="2"/>
  <c r="K123" i="2"/>
  <c r="J123" i="2"/>
  <c r="I123" i="2"/>
  <c r="H123" i="2"/>
  <c r="L122" i="2"/>
  <c r="K122" i="2"/>
  <c r="J122" i="2"/>
  <c r="I122" i="2"/>
  <c r="H122" i="2"/>
  <c r="L121" i="2"/>
  <c r="K121" i="2"/>
  <c r="J121" i="2"/>
  <c r="I121" i="2"/>
  <c r="H121" i="2"/>
  <c r="L120" i="2"/>
  <c r="K120" i="2"/>
  <c r="J120" i="2"/>
  <c r="I120" i="2"/>
  <c r="H120" i="2"/>
  <c r="L119" i="2"/>
  <c r="K119" i="2"/>
  <c r="J119" i="2"/>
  <c r="I119" i="2"/>
  <c r="H119" i="2"/>
  <c r="L118" i="2"/>
  <c r="K118" i="2"/>
  <c r="J118" i="2"/>
  <c r="I118" i="2"/>
  <c r="H118" i="2"/>
  <c r="L117" i="2"/>
  <c r="K117" i="2"/>
  <c r="J117" i="2"/>
  <c r="I117" i="2"/>
  <c r="H117" i="2"/>
  <c r="L116" i="2"/>
  <c r="K116" i="2"/>
  <c r="J116" i="2"/>
  <c r="I116" i="2"/>
  <c r="H116" i="2"/>
  <c r="L115" i="2"/>
  <c r="K115" i="2"/>
  <c r="J115" i="2"/>
  <c r="I115" i="2"/>
  <c r="H115" i="2"/>
  <c r="L114" i="2"/>
  <c r="K114" i="2"/>
  <c r="J114" i="2"/>
  <c r="I114" i="2"/>
  <c r="H114" i="2"/>
  <c r="L113" i="2"/>
  <c r="K113" i="2"/>
  <c r="J113" i="2"/>
  <c r="I113" i="2"/>
  <c r="H113" i="2"/>
  <c r="L112" i="2"/>
  <c r="K112" i="2"/>
  <c r="J112" i="2"/>
  <c r="I112" i="2"/>
  <c r="H112" i="2"/>
  <c r="L111" i="2"/>
  <c r="K111" i="2"/>
  <c r="J111" i="2"/>
  <c r="I111" i="2"/>
  <c r="H111" i="2"/>
  <c r="L110" i="2"/>
  <c r="K110" i="2"/>
  <c r="J110" i="2"/>
  <c r="I110" i="2"/>
  <c r="H110" i="2"/>
  <c r="L109" i="2"/>
  <c r="K109" i="2"/>
  <c r="J109" i="2"/>
  <c r="I109" i="2"/>
  <c r="H109" i="2"/>
  <c r="L108" i="2"/>
  <c r="K108" i="2"/>
  <c r="J108" i="2"/>
  <c r="I108" i="2"/>
  <c r="H108" i="2"/>
  <c r="L107" i="2"/>
  <c r="K107" i="2"/>
  <c r="J107" i="2"/>
  <c r="I107" i="2"/>
  <c r="H107" i="2"/>
  <c r="L106" i="2"/>
  <c r="K106" i="2"/>
  <c r="J106" i="2"/>
  <c r="I106" i="2"/>
  <c r="H106" i="2"/>
  <c r="L105" i="2"/>
  <c r="K105" i="2"/>
  <c r="J105" i="2"/>
  <c r="I105" i="2"/>
  <c r="H105" i="2"/>
  <c r="L104" i="2"/>
  <c r="K104" i="2"/>
  <c r="J104" i="2"/>
  <c r="I104" i="2"/>
  <c r="H104" i="2"/>
  <c r="L103" i="2"/>
  <c r="K103" i="2"/>
  <c r="J103" i="2"/>
  <c r="I103" i="2"/>
  <c r="H103" i="2"/>
  <c r="L102" i="2"/>
  <c r="K102" i="2"/>
  <c r="J102" i="2"/>
  <c r="I102" i="2"/>
  <c r="H102" i="2"/>
  <c r="L101" i="2"/>
  <c r="K101" i="2"/>
  <c r="J101" i="2"/>
  <c r="I101" i="2"/>
  <c r="H101" i="2"/>
  <c r="L100" i="2"/>
  <c r="K100" i="2"/>
  <c r="J100" i="2"/>
  <c r="I100" i="2"/>
  <c r="H100" i="2"/>
  <c r="L99" i="2"/>
  <c r="K99" i="2"/>
  <c r="J99" i="2"/>
  <c r="I99" i="2"/>
  <c r="H99" i="2"/>
  <c r="L98" i="2"/>
  <c r="K98" i="2"/>
  <c r="J98" i="2"/>
  <c r="I98" i="2"/>
  <c r="H98" i="2"/>
  <c r="L97" i="2"/>
  <c r="K97" i="2"/>
  <c r="J97" i="2"/>
  <c r="I97" i="2"/>
  <c r="H97" i="2"/>
  <c r="L96" i="2"/>
  <c r="K96" i="2"/>
  <c r="J96" i="2"/>
  <c r="I96" i="2"/>
  <c r="H96" i="2"/>
  <c r="L95" i="2"/>
  <c r="K95" i="2"/>
  <c r="J95" i="2"/>
  <c r="I95" i="2"/>
  <c r="H95" i="2"/>
  <c r="L94" i="2"/>
  <c r="K94" i="2"/>
  <c r="J94" i="2"/>
  <c r="I94" i="2"/>
  <c r="H94" i="2"/>
  <c r="J93" i="2"/>
  <c r="H93" i="2"/>
  <c r="L92" i="2"/>
  <c r="K92" i="2"/>
  <c r="J92" i="2"/>
  <c r="I92" i="2"/>
  <c r="H92" i="2"/>
  <c r="L91" i="2"/>
  <c r="K91" i="2"/>
  <c r="J91" i="2"/>
  <c r="I91" i="2"/>
  <c r="H91" i="2"/>
  <c r="L90" i="2"/>
  <c r="K90" i="2"/>
  <c r="J90" i="2"/>
  <c r="I90" i="2"/>
  <c r="H90" i="2"/>
  <c r="L89" i="2"/>
  <c r="K89" i="2"/>
  <c r="J89" i="2"/>
  <c r="I89" i="2"/>
  <c r="H89" i="2"/>
  <c r="L88" i="2"/>
  <c r="K88" i="2"/>
  <c r="J88" i="2"/>
  <c r="I88" i="2"/>
  <c r="H88" i="2"/>
  <c r="L87" i="2"/>
  <c r="K87" i="2"/>
  <c r="J87" i="2"/>
  <c r="I87" i="2"/>
  <c r="H87" i="2"/>
  <c r="L86" i="2"/>
  <c r="K86" i="2"/>
  <c r="J86" i="2"/>
  <c r="I86" i="2"/>
  <c r="H86" i="2"/>
  <c r="L85" i="2"/>
  <c r="K85" i="2"/>
  <c r="J85" i="2"/>
  <c r="I85" i="2"/>
  <c r="H85" i="2"/>
  <c r="L84" i="2"/>
  <c r="K84" i="2"/>
  <c r="J84" i="2"/>
  <c r="I84" i="2"/>
  <c r="H84" i="2"/>
  <c r="L83" i="2"/>
  <c r="K83" i="2"/>
  <c r="J83" i="2"/>
  <c r="I83" i="2"/>
  <c r="H83" i="2"/>
  <c r="L82" i="2"/>
  <c r="K82" i="2"/>
  <c r="J82" i="2"/>
  <c r="I82" i="2"/>
  <c r="H82" i="2"/>
  <c r="L81" i="2"/>
  <c r="K81" i="2"/>
  <c r="J81" i="2"/>
  <c r="I81" i="2"/>
  <c r="H81" i="2"/>
  <c r="L80" i="2"/>
  <c r="K80" i="2"/>
  <c r="J80" i="2"/>
  <c r="I80" i="2"/>
  <c r="H80" i="2"/>
  <c r="L79" i="2"/>
  <c r="K79" i="2"/>
  <c r="J79" i="2"/>
  <c r="I79" i="2"/>
  <c r="H79" i="2"/>
  <c r="L78" i="2"/>
  <c r="K78" i="2"/>
  <c r="J78" i="2"/>
  <c r="I78" i="2"/>
  <c r="H78" i="2"/>
  <c r="L77" i="2"/>
  <c r="K77" i="2"/>
  <c r="J77" i="2"/>
  <c r="I77" i="2"/>
  <c r="H77" i="2"/>
  <c r="L76" i="2"/>
  <c r="K76" i="2"/>
  <c r="J76" i="2"/>
  <c r="I76" i="2"/>
  <c r="H76" i="2"/>
  <c r="L75" i="2"/>
  <c r="K75" i="2"/>
  <c r="J75" i="2"/>
  <c r="I75" i="2"/>
  <c r="H75" i="2"/>
  <c r="L74" i="2"/>
  <c r="K74" i="2"/>
  <c r="J74" i="2"/>
  <c r="I74" i="2"/>
  <c r="H74" i="2"/>
  <c r="L73" i="2"/>
  <c r="K73" i="2"/>
  <c r="J73" i="2"/>
  <c r="I73" i="2"/>
  <c r="H73" i="2"/>
  <c r="L72" i="2"/>
  <c r="K72" i="2"/>
  <c r="J72" i="2"/>
  <c r="I72" i="2"/>
  <c r="H72" i="2"/>
  <c r="L71" i="2"/>
  <c r="K71" i="2"/>
  <c r="J71" i="2"/>
  <c r="I71" i="2"/>
  <c r="H71" i="2"/>
  <c r="L70" i="2"/>
  <c r="K70" i="2"/>
  <c r="J70" i="2"/>
  <c r="I70" i="2"/>
  <c r="H70" i="2"/>
  <c r="L69" i="2"/>
  <c r="K69" i="2"/>
  <c r="J69" i="2"/>
  <c r="I69" i="2"/>
  <c r="H69" i="2"/>
  <c r="L68" i="2"/>
  <c r="K68" i="2"/>
  <c r="J68" i="2"/>
  <c r="I68" i="2"/>
  <c r="H68" i="2"/>
  <c r="J67" i="2"/>
  <c r="H67" i="2"/>
  <c r="L66" i="2"/>
  <c r="K66" i="2"/>
  <c r="J66" i="2"/>
  <c r="I66" i="2"/>
  <c r="H66" i="2"/>
  <c r="L65" i="2"/>
  <c r="K65" i="2"/>
  <c r="J65" i="2"/>
  <c r="I65" i="2"/>
  <c r="H65" i="2"/>
  <c r="L64" i="2"/>
  <c r="K64" i="2"/>
  <c r="J64" i="2"/>
  <c r="I64" i="2"/>
  <c r="H64" i="2"/>
  <c r="L63" i="2"/>
  <c r="K63" i="2"/>
  <c r="J63" i="2"/>
  <c r="I63" i="2"/>
  <c r="H63" i="2"/>
  <c r="XFD62" i="2"/>
  <c r="L62" i="2"/>
  <c r="K62" i="2"/>
  <c r="J62" i="2"/>
  <c r="I62" i="2"/>
  <c r="H62" i="2"/>
  <c r="L61" i="2"/>
  <c r="K61" i="2"/>
  <c r="J61" i="2"/>
  <c r="I61" i="2"/>
  <c r="H61" i="2"/>
  <c r="L60" i="2"/>
  <c r="K60" i="2"/>
  <c r="J60" i="2"/>
  <c r="I60" i="2"/>
  <c r="H60" i="2"/>
  <c r="L59" i="2"/>
  <c r="K59" i="2"/>
  <c r="J59" i="2"/>
  <c r="I59" i="2"/>
  <c r="H59" i="2"/>
  <c r="L58" i="2"/>
  <c r="K58" i="2"/>
  <c r="J58" i="2"/>
  <c r="I58" i="2"/>
  <c r="H58" i="2"/>
  <c r="L57" i="2"/>
  <c r="K57" i="2"/>
  <c r="J57" i="2"/>
  <c r="I57" i="2"/>
  <c r="H57" i="2"/>
  <c r="L56" i="2"/>
  <c r="K56" i="2"/>
  <c r="J56" i="2"/>
  <c r="I56" i="2"/>
  <c r="H56" i="2"/>
  <c r="L55" i="2"/>
  <c r="K55" i="2"/>
  <c r="J55" i="2"/>
  <c r="I55" i="2"/>
  <c r="H55" i="2"/>
  <c r="L54" i="2"/>
  <c r="K54" i="2"/>
  <c r="J54" i="2"/>
  <c r="I54" i="2"/>
  <c r="H54" i="2"/>
  <c r="L53" i="2"/>
  <c r="K53" i="2"/>
  <c r="J53" i="2"/>
  <c r="I53" i="2"/>
  <c r="H53" i="2"/>
  <c r="L52" i="2"/>
  <c r="K52" i="2"/>
  <c r="J52" i="2"/>
  <c r="I52" i="2"/>
  <c r="H52" i="2"/>
  <c r="L51" i="2"/>
  <c r="K51" i="2"/>
  <c r="J51" i="2"/>
  <c r="I51" i="2"/>
  <c r="H51" i="2"/>
  <c r="L50" i="2"/>
  <c r="K50" i="2"/>
  <c r="J50" i="2"/>
  <c r="I50" i="2"/>
  <c r="H50" i="2"/>
  <c r="L49" i="2"/>
  <c r="K49" i="2"/>
  <c r="J49" i="2"/>
  <c r="I49" i="2"/>
  <c r="H49" i="2"/>
  <c r="L48" i="2"/>
  <c r="K48" i="2"/>
  <c r="J48" i="2"/>
  <c r="I48" i="2"/>
  <c r="H48" i="2"/>
  <c r="L47" i="2"/>
  <c r="K47" i="2"/>
  <c r="J47" i="2"/>
  <c r="I47" i="2"/>
  <c r="H47" i="2"/>
  <c r="L46" i="2"/>
  <c r="K46" i="2"/>
  <c r="J46" i="2"/>
  <c r="I46" i="2"/>
  <c r="H46" i="2"/>
  <c r="L45" i="2"/>
  <c r="K45" i="2"/>
  <c r="J45" i="2"/>
  <c r="I45" i="2"/>
  <c r="H45" i="2"/>
  <c r="L44" i="2"/>
  <c r="K44" i="2"/>
  <c r="J44" i="2"/>
  <c r="I44" i="2"/>
  <c r="H44" i="2"/>
  <c r="L43" i="2"/>
  <c r="K43" i="2"/>
  <c r="J43" i="2"/>
  <c r="I43" i="2"/>
  <c r="H43" i="2"/>
  <c r="L42" i="2"/>
  <c r="K42" i="2"/>
  <c r="J42" i="2"/>
  <c r="I42" i="2"/>
  <c r="H42" i="2"/>
  <c r="L41" i="2"/>
  <c r="K41" i="2"/>
  <c r="J41" i="2"/>
  <c r="I41" i="2"/>
  <c r="H41" i="2"/>
  <c r="L40" i="2"/>
  <c r="K40" i="2"/>
  <c r="J40" i="2"/>
  <c r="I40" i="2"/>
  <c r="H40" i="2"/>
  <c r="L39" i="2"/>
  <c r="K39" i="2"/>
  <c r="J39" i="2"/>
  <c r="I39" i="2"/>
  <c r="H39" i="2"/>
  <c r="L38" i="2"/>
  <c r="K38" i="2"/>
  <c r="J38" i="2"/>
  <c r="I38" i="2"/>
  <c r="H38" i="2"/>
  <c r="L37" i="2"/>
  <c r="K37" i="2"/>
  <c r="J37" i="2"/>
  <c r="I37" i="2"/>
  <c r="H37" i="2"/>
  <c r="L36" i="2"/>
  <c r="K36" i="2"/>
  <c r="J36" i="2"/>
  <c r="I36" i="2"/>
  <c r="H36" i="2"/>
  <c r="L35" i="2"/>
  <c r="K35" i="2"/>
  <c r="J35" i="2"/>
  <c r="I35" i="2"/>
  <c r="H35" i="2"/>
  <c r="L34" i="2"/>
  <c r="K34" i="2"/>
  <c r="J34" i="2"/>
  <c r="I34" i="2"/>
  <c r="H34" i="2"/>
  <c r="L33" i="2"/>
  <c r="K33" i="2"/>
  <c r="J33" i="2"/>
  <c r="I33" i="2"/>
  <c r="H33" i="2"/>
  <c r="L32" i="2"/>
  <c r="K32" i="2"/>
  <c r="J32" i="2"/>
  <c r="I32" i="2"/>
  <c r="H32" i="2"/>
  <c r="L31" i="2"/>
  <c r="K31" i="2"/>
  <c r="J31" i="2"/>
  <c r="I31" i="2"/>
  <c r="H31" i="2"/>
  <c r="L30" i="2"/>
  <c r="K30" i="2"/>
  <c r="J30" i="2"/>
  <c r="I30" i="2"/>
  <c r="H30" i="2"/>
  <c r="L29" i="2"/>
  <c r="K29" i="2"/>
  <c r="J29" i="2"/>
  <c r="I29" i="2"/>
  <c r="H29" i="2"/>
  <c r="L28" i="2"/>
  <c r="K28" i="2"/>
  <c r="J28" i="2"/>
  <c r="I28" i="2"/>
  <c r="H28" i="2"/>
  <c r="L27" i="2"/>
  <c r="K27" i="2"/>
  <c r="J27" i="2"/>
  <c r="I27" i="2"/>
  <c r="H27" i="2"/>
  <c r="L26" i="2"/>
  <c r="K26" i="2"/>
  <c r="J26" i="2"/>
  <c r="I26" i="2"/>
  <c r="H26" i="2"/>
  <c r="L25" i="2"/>
  <c r="K25" i="2"/>
  <c r="J25" i="2"/>
  <c r="I25" i="2"/>
  <c r="H25" i="2"/>
  <c r="L24" i="2"/>
  <c r="K24" i="2"/>
  <c r="J24" i="2"/>
  <c r="I24" i="2"/>
  <c r="H24" i="2"/>
  <c r="L23" i="2"/>
  <c r="K23" i="2"/>
  <c r="J23" i="2"/>
  <c r="I23" i="2"/>
  <c r="H23" i="2"/>
  <c r="L22" i="2"/>
  <c r="K22" i="2"/>
  <c r="J22" i="2"/>
  <c r="I22" i="2"/>
  <c r="H22" i="2"/>
  <c r="L21" i="2"/>
  <c r="K21" i="2"/>
  <c r="J21" i="2"/>
  <c r="I21" i="2"/>
  <c r="H21" i="2"/>
  <c r="L20" i="2"/>
  <c r="K20" i="2"/>
  <c r="J20" i="2"/>
  <c r="I20" i="2"/>
  <c r="H20" i="2"/>
  <c r="L19" i="2"/>
  <c r="K19" i="2"/>
  <c r="J19" i="2"/>
  <c r="I19" i="2"/>
  <c r="H19" i="2"/>
  <c r="L18" i="2"/>
  <c r="K18" i="2"/>
  <c r="J18" i="2"/>
  <c r="I18" i="2"/>
  <c r="H18" i="2"/>
  <c r="L17" i="2"/>
  <c r="K17" i="2"/>
  <c r="J17" i="2"/>
  <c r="I17" i="2"/>
  <c r="H17" i="2"/>
  <c r="L16" i="2"/>
  <c r="K16" i="2"/>
  <c r="J16" i="2"/>
  <c r="I16" i="2"/>
  <c r="H16" i="2"/>
  <c r="L15" i="2"/>
  <c r="K15" i="2"/>
  <c r="J15" i="2"/>
  <c r="I15" i="2"/>
  <c r="H15" i="2"/>
  <c r="L14" i="2"/>
  <c r="K14" i="2"/>
  <c r="J14" i="2"/>
  <c r="I14" i="2"/>
  <c r="H14" i="2"/>
  <c r="L13" i="2"/>
  <c r="K13" i="2"/>
  <c r="J13" i="2"/>
  <c r="I13" i="2"/>
  <c r="H13" i="2"/>
  <c r="L12" i="2"/>
  <c r="K12" i="2"/>
  <c r="J12" i="2"/>
  <c r="I12" i="2"/>
  <c r="H12" i="2"/>
  <c r="L11" i="2"/>
  <c r="K11" i="2"/>
  <c r="J11" i="2"/>
  <c r="I11" i="2"/>
  <c r="H11" i="2"/>
  <c r="L10" i="2"/>
  <c r="K10" i="2"/>
  <c r="J10" i="2"/>
  <c r="I10" i="2"/>
  <c r="H10" i="2"/>
  <c r="L9" i="2"/>
  <c r="K9" i="2"/>
  <c r="J9" i="2"/>
  <c r="I9" i="2"/>
  <c r="H9" i="2"/>
  <c r="L8" i="2"/>
  <c r="K8" i="2"/>
  <c r="J8" i="2"/>
  <c r="I8" i="2"/>
  <c r="H8" i="2"/>
  <c r="L7" i="2"/>
  <c r="K7" i="2"/>
  <c r="J7" i="2"/>
  <c r="I7" i="2"/>
  <c r="H7" i="2"/>
  <c r="L6" i="2"/>
  <c r="K6" i="2"/>
  <c r="J6" i="2"/>
  <c r="I6" i="2"/>
  <c r="H6" i="2"/>
  <c r="L198" i="1"/>
  <c r="L197" i="1"/>
  <c r="K197" i="1"/>
  <c r="J197" i="1"/>
  <c r="I197" i="1"/>
  <c r="H197" i="1"/>
  <c r="L196" i="1"/>
  <c r="K196" i="1"/>
  <c r="J196" i="1"/>
  <c r="I196" i="1"/>
  <c r="H196" i="1"/>
  <c r="L195" i="1"/>
  <c r="K195" i="1"/>
  <c r="J195" i="1"/>
  <c r="I195" i="1"/>
  <c r="H195" i="1"/>
  <c r="L194" i="1"/>
  <c r="K194" i="1"/>
  <c r="J194" i="1"/>
  <c r="I194" i="1"/>
  <c r="H194" i="1"/>
  <c r="L193" i="1"/>
  <c r="K193" i="1"/>
  <c r="J193" i="1"/>
  <c r="I193" i="1"/>
  <c r="H193" i="1"/>
  <c r="L192" i="1"/>
  <c r="K192" i="1"/>
  <c r="J192" i="1"/>
  <c r="I192" i="1"/>
  <c r="H192" i="1"/>
  <c r="L191" i="1"/>
  <c r="K191" i="1"/>
  <c r="J191" i="1"/>
  <c r="I191" i="1"/>
  <c r="H191" i="1"/>
  <c r="L190" i="1"/>
  <c r="K190" i="1"/>
  <c r="J190" i="1"/>
  <c r="I190" i="1"/>
  <c r="H190" i="1"/>
  <c r="L189" i="1"/>
  <c r="K189" i="1"/>
  <c r="J189" i="1"/>
  <c r="I189" i="1"/>
  <c r="H189" i="1"/>
  <c r="L188" i="1"/>
  <c r="K188" i="1"/>
  <c r="J188" i="1"/>
  <c r="I188" i="1"/>
  <c r="H188" i="1"/>
  <c r="L187" i="1"/>
  <c r="K187" i="1"/>
  <c r="J187" i="1"/>
  <c r="I187" i="1"/>
  <c r="H187" i="1"/>
  <c r="L186" i="1"/>
  <c r="K186" i="1"/>
  <c r="J186" i="1"/>
  <c r="I186" i="1"/>
  <c r="H186" i="1"/>
  <c r="L185" i="1"/>
  <c r="K185" i="1"/>
  <c r="J185" i="1"/>
  <c r="I185" i="1"/>
  <c r="H185" i="1"/>
  <c r="L184" i="1"/>
  <c r="K184" i="1"/>
  <c r="J184" i="1"/>
  <c r="I184" i="1"/>
  <c r="H184" i="1"/>
  <c r="L183" i="1"/>
  <c r="K183" i="1"/>
  <c r="J183" i="1"/>
  <c r="I183" i="1"/>
  <c r="H183" i="1"/>
  <c r="L182" i="1"/>
  <c r="K182" i="1"/>
  <c r="J182" i="1"/>
  <c r="I182" i="1"/>
  <c r="H182" i="1"/>
  <c r="L181" i="1"/>
  <c r="K181" i="1"/>
  <c r="J181" i="1"/>
  <c r="I181" i="1"/>
  <c r="H181" i="1"/>
  <c r="L180" i="1"/>
  <c r="K180" i="1"/>
  <c r="J180" i="1"/>
  <c r="I180" i="1"/>
  <c r="H180" i="1"/>
  <c r="L179" i="1"/>
  <c r="K179" i="1"/>
  <c r="J179" i="1"/>
  <c r="I179" i="1"/>
  <c r="H179" i="1"/>
  <c r="L178" i="1"/>
  <c r="K178" i="1"/>
  <c r="J178" i="1"/>
  <c r="I178" i="1"/>
  <c r="H178" i="1"/>
  <c r="L177" i="1"/>
  <c r="K177" i="1"/>
  <c r="J177" i="1"/>
  <c r="I177" i="1"/>
  <c r="H177" i="1"/>
  <c r="L176" i="1"/>
  <c r="K176" i="1"/>
  <c r="J176" i="1"/>
  <c r="I176" i="1"/>
  <c r="H176" i="1"/>
  <c r="L175" i="1"/>
  <c r="K175" i="1"/>
  <c r="J175" i="1"/>
  <c r="I175" i="1"/>
  <c r="H175" i="1"/>
  <c r="L174" i="1"/>
  <c r="K174" i="1"/>
  <c r="J174" i="1"/>
  <c r="I174" i="1"/>
  <c r="H174" i="1"/>
  <c r="L173" i="1"/>
  <c r="K173" i="1"/>
  <c r="J173" i="1"/>
  <c r="I173" i="1"/>
  <c r="H173" i="1"/>
  <c r="L172" i="1"/>
  <c r="K172" i="1"/>
  <c r="J172" i="1"/>
  <c r="I172" i="1"/>
  <c r="H172" i="1"/>
  <c r="L171" i="1"/>
  <c r="K171" i="1"/>
  <c r="J171" i="1"/>
  <c r="I171" i="1"/>
  <c r="H171" i="1"/>
  <c r="L170" i="1"/>
  <c r="K170" i="1"/>
  <c r="J170" i="1"/>
  <c r="I170" i="1"/>
  <c r="H170" i="1"/>
  <c r="L169" i="1"/>
  <c r="K169" i="1"/>
  <c r="J169" i="1"/>
  <c r="I169" i="1"/>
  <c r="H169" i="1"/>
  <c r="L168" i="1"/>
  <c r="K168" i="1"/>
  <c r="J168" i="1"/>
  <c r="I168" i="1"/>
  <c r="H168" i="1"/>
  <c r="L167" i="1"/>
  <c r="K167" i="1"/>
  <c r="J167" i="1"/>
  <c r="I167" i="1"/>
  <c r="H167" i="1"/>
  <c r="L166" i="1"/>
  <c r="K166" i="1"/>
  <c r="J166" i="1"/>
  <c r="I166" i="1"/>
  <c r="H166" i="1"/>
  <c r="L165" i="1"/>
  <c r="K165" i="1"/>
  <c r="J165" i="1"/>
  <c r="I165" i="1"/>
  <c r="H165" i="1"/>
  <c r="L164" i="1"/>
  <c r="K164" i="1"/>
  <c r="J164" i="1"/>
  <c r="I164" i="1"/>
  <c r="H164" i="1"/>
  <c r="L163" i="1"/>
  <c r="K163" i="1"/>
  <c r="J163" i="1"/>
  <c r="I163" i="1"/>
  <c r="H163" i="1"/>
  <c r="L162" i="1"/>
  <c r="K162" i="1"/>
  <c r="J162" i="1"/>
  <c r="I162" i="1"/>
  <c r="H162" i="1"/>
  <c r="L161" i="1"/>
  <c r="K161" i="1"/>
  <c r="J161" i="1"/>
  <c r="I161" i="1"/>
  <c r="H161" i="1"/>
  <c r="L160" i="1"/>
  <c r="K160" i="1"/>
  <c r="J160" i="1"/>
  <c r="I160" i="1"/>
  <c r="H160" i="1"/>
  <c r="L159" i="1"/>
  <c r="K159" i="1"/>
  <c r="J159" i="1"/>
  <c r="I159" i="1"/>
  <c r="H159" i="1"/>
  <c r="L158" i="1"/>
  <c r="K158" i="1"/>
  <c r="J158" i="1"/>
  <c r="I158" i="1"/>
  <c r="H158" i="1"/>
  <c r="L157" i="1"/>
  <c r="K157" i="1"/>
  <c r="J157" i="1"/>
  <c r="I157" i="1"/>
  <c r="H157" i="1"/>
  <c r="L156" i="1"/>
  <c r="K156" i="1"/>
  <c r="J156" i="1"/>
  <c r="I156" i="1"/>
  <c r="H156" i="1"/>
  <c r="L155" i="1"/>
  <c r="K155" i="1"/>
  <c r="J155" i="1"/>
  <c r="I155" i="1"/>
  <c r="H155" i="1"/>
  <c r="L154" i="1"/>
  <c r="K154" i="1"/>
  <c r="J154" i="1"/>
  <c r="I154" i="1"/>
  <c r="H154" i="1"/>
  <c r="L153" i="1"/>
  <c r="K153" i="1"/>
  <c r="J153" i="1"/>
  <c r="I153" i="1"/>
  <c r="H153" i="1"/>
  <c r="L152" i="1"/>
  <c r="K152" i="1"/>
  <c r="J152" i="1"/>
  <c r="I152" i="1"/>
  <c r="H152" i="1"/>
  <c r="L151" i="1"/>
  <c r="K151" i="1"/>
  <c r="J151" i="1"/>
  <c r="I151" i="1"/>
  <c r="H151" i="1"/>
  <c r="L150" i="1"/>
  <c r="K150" i="1"/>
  <c r="J150" i="1"/>
  <c r="I150" i="1"/>
  <c r="H150" i="1"/>
  <c r="L149" i="1"/>
  <c r="K149" i="1"/>
  <c r="J149" i="1"/>
  <c r="I149" i="1"/>
  <c r="H149" i="1"/>
  <c r="L148" i="1"/>
  <c r="K148" i="1"/>
  <c r="J148" i="1"/>
  <c r="I148" i="1"/>
  <c r="H148" i="1"/>
  <c r="L147" i="1"/>
  <c r="K147" i="1"/>
  <c r="J147" i="1"/>
  <c r="I147" i="1"/>
  <c r="H147" i="1"/>
  <c r="L146" i="1"/>
  <c r="K146" i="1"/>
  <c r="J146" i="1"/>
  <c r="I146" i="1"/>
  <c r="H146" i="1"/>
  <c r="L145" i="1"/>
  <c r="K145" i="1"/>
  <c r="J145" i="1"/>
  <c r="I145" i="1"/>
  <c r="H145" i="1"/>
  <c r="L144" i="1"/>
  <c r="K144" i="1"/>
  <c r="J144" i="1"/>
  <c r="I144" i="1"/>
  <c r="H144" i="1"/>
  <c r="L143" i="1"/>
  <c r="K143" i="1"/>
  <c r="J143" i="1"/>
  <c r="I143" i="1"/>
  <c r="H143" i="1"/>
  <c r="L142" i="1"/>
  <c r="K142" i="1"/>
  <c r="J142" i="1"/>
  <c r="I142" i="1"/>
  <c r="H142" i="1"/>
  <c r="L141" i="1"/>
  <c r="K141" i="1"/>
  <c r="J141" i="1"/>
  <c r="I141" i="1"/>
  <c r="H141" i="1"/>
  <c r="L140" i="1"/>
  <c r="K140" i="1"/>
  <c r="J140" i="1"/>
  <c r="I140" i="1"/>
  <c r="H140" i="1"/>
  <c r="L139" i="1"/>
  <c r="K139" i="1"/>
  <c r="J139" i="1"/>
  <c r="I139" i="1"/>
  <c r="H139" i="1"/>
  <c r="L138" i="1"/>
  <c r="K138" i="1"/>
  <c r="J138" i="1"/>
  <c r="I138" i="1"/>
  <c r="H138" i="1"/>
  <c r="L137" i="1"/>
  <c r="K137" i="1"/>
  <c r="J137" i="1"/>
  <c r="I137" i="1"/>
  <c r="H137" i="1"/>
  <c r="L136" i="1"/>
  <c r="K136" i="1"/>
  <c r="J136" i="1"/>
  <c r="I136" i="1"/>
  <c r="H136" i="1"/>
  <c r="L135" i="1"/>
  <c r="K135" i="1"/>
  <c r="J135" i="1"/>
  <c r="I135" i="1"/>
  <c r="H135" i="1"/>
  <c r="L134" i="1"/>
  <c r="K134" i="1"/>
  <c r="J134" i="1"/>
  <c r="I134" i="1"/>
  <c r="H134" i="1"/>
  <c r="L133" i="1"/>
  <c r="K133" i="1"/>
  <c r="J133" i="1"/>
  <c r="I133" i="1"/>
  <c r="H133" i="1"/>
  <c r="L132" i="1"/>
  <c r="K132" i="1"/>
  <c r="J132" i="1"/>
  <c r="I132" i="1"/>
  <c r="H132" i="1"/>
  <c r="L131" i="1"/>
  <c r="K131" i="1"/>
  <c r="J131" i="1"/>
  <c r="I131" i="1"/>
  <c r="H131" i="1"/>
  <c r="L130" i="1"/>
  <c r="K130" i="1"/>
  <c r="J130" i="1"/>
  <c r="I130" i="1"/>
  <c r="H130" i="1"/>
  <c r="L129" i="1"/>
  <c r="K129" i="1"/>
  <c r="J129" i="1"/>
  <c r="I129" i="1"/>
  <c r="H129" i="1"/>
  <c r="L128" i="1"/>
  <c r="K128" i="1"/>
  <c r="J128" i="1"/>
  <c r="I128" i="1"/>
  <c r="H128" i="1"/>
  <c r="L127" i="1"/>
  <c r="K127" i="1"/>
  <c r="J127" i="1"/>
  <c r="I127" i="1"/>
  <c r="H127" i="1"/>
  <c r="L126" i="1"/>
  <c r="K126" i="1"/>
  <c r="J126" i="1"/>
  <c r="I126" i="1"/>
  <c r="H126" i="1"/>
  <c r="L125" i="1"/>
  <c r="K125" i="1"/>
  <c r="J125" i="1"/>
  <c r="I125" i="1"/>
  <c r="H125" i="1"/>
  <c r="L124" i="1"/>
  <c r="K124" i="1"/>
  <c r="J124" i="1"/>
  <c r="I124" i="1"/>
  <c r="H124" i="1"/>
  <c r="L123" i="1"/>
  <c r="K123" i="1"/>
  <c r="J123" i="1"/>
  <c r="I123" i="1"/>
  <c r="H123" i="1"/>
  <c r="L122" i="1"/>
  <c r="K122" i="1"/>
  <c r="J122" i="1"/>
  <c r="I122" i="1"/>
  <c r="H122" i="1"/>
  <c r="L121" i="1"/>
  <c r="K121" i="1"/>
  <c r="J121" i="1"/>
  <c r="I121" i="1"/>
  <c r="H121" i="1"/>
  <c r="L120" i="1"/>
  <c r="K120" i="1"/>
  <c r="J120" i="1"/>
  <c r="I120" i="1"/>
  <c r="H120" i="1"/>
  <c r="L119" i="1"/>
  <c r="K119" i="1"/>
  <c r="J119" i="1"/>
  <c r="I119" i="1"/>
  <c r="H119" i="1"/>
  <c r="L118" i="1"/>
  <c r="K118" i="1"/>
  <c r="J118" i="1"/>
  <c r="I118" i="1"/>
  <c r="H118" i="1"/>
  <c r="L117" i="1"/>
  <c r="K117" i="1"/>
  <c r="J117" i="1"/>
  <c r="I117" i="1"/>
  <c r="H117" i="1"/>
  <c r="L116" i="1"/>
  <c r="K116" i="1"/>
  <c r="J116" i="1"/>
  <c r="I116" i="1"/>
  <c r="H116" i="1"/>
  <c r="L115" i="1"/>
  <c r="K115" i="1"/>
  <c r="J115" i="1"/>
  <c r="I115" i="1"/>
  <c r="H115" i="1"/>
  <c r="L114" i="1"/>
  <c r="K114" i="1"/>
  <c r="J114" i="1"/>
  <c r="I114" i="1"/>
  <c r="H114" i="1"/>
  <c r="L113" i="1"/>
  <c r="K113" i="1"/>
  <c r="J113" i="1"/>
  <c r="I113" i="1"/>
  <c r="H113" i="1"/>
  <c r="L112" i="1"/>
  <c r="K112" i="1"/>
  <c r="J112" i="1"/>
  <c r="I112" i="1"/>
  <c r="H112" i="1"/>
  <c r="L111" i="1"/>
  <c r="K111" i="1"/>
  <c r="J111" i="1"/>
  <c r="I111" i="1"/>
  <c r="H111" i="1"/>
  <c r="L110" i="1"/>
  <c r="K110" i="1"/>
  <c r="J110" i="1"/>
  <c r="I110" i="1"/>
  <c r="H110" i="1"/>
  <c r="L109" i="1"/>
  <c r="K109" i="1"/>
  <c r="J109" i="1"/>
  <c r="I109" i="1"/>
  <c r="H109" i="1"/>
  <c r="L108" i="1"/>
  <c r="K108" i="1"/>
  <c r="J108" i="1"/>
  <c r="I108" i="1"/>
  <c r="H108" i="1"/>
  <c r="L107" i="1"/>
  <c r="K107" i="1"/>
  <c r="J107" i="1"/>
  <c r="I107" i="1"/>
  <c r="H107" i="1"/>
  <c r="L106" i="1"/>
  <c r="K106" i="1"/>
  <c r="J106" i="1"/>
  <c r="I106" i="1"/>
  <c r="H106" i="1"/>
  <c r="L105" i="1"/>
  <c r="K105" i="1"/>
  <c r="J105" i="1"/>
  <c r="I105" i="1"/>
  <c r="H105" i="1"/>
  <c r="L104" i="1"/>
  <c r="K104" i="1"/>
  <c r="J104" i="1"/>
  <c r="I104" i="1"/>
  <c r="H104" i="1"/>
  <c r="L103" i="1"/>
  <c r="K103" i="1"/>
  <c r="J103" i="1"/>
  <c r="I103" i="1"/>
  <c r="H103" i="1"/>
  <c r="L102" i="1"/>
  <c r="K102" i="1"/>
  <c r="J102" i="1"/>
  <c r="I102" i="1"/>
  <c r="H102" i="1"/>
  <c r="L101" i="1"/>
  <c r="K101" i="1"/>
  <c r="J101" i="1"/>
  <c r="I101" i="1"/>
  <c r="H101" i="1"/>
  <c r="L100" i="1"/>
  <c r="K100" i="1"/>
  <c r="J100" i="1"/>
  <c r="I100" i="1"/>
  <c r="H100" i="1"/>
  <c r="L99" i="1"/>
  <c r="K99" i="1"/>
  <c r="J99" i="1"/>
  <c r="I99" i="1"/>
  <c r="H99" i="1"/>
  <c r="L98" i="1"/>
  <c r="K98" i="1"/>
  <c r="J98" i="1"/>
  <c r="I98" i="1"/>
  <c r="H98" i="1"/>
  <c r="L97" i="1"/>
  <c r="K97" i="1"/>
  <c r="J97" i="1"/>
  <c r="I97" i="1"/>
  <c r="H97" i="1"/>
  <c r="L96" i="1"/>
  <c r="K96" i="1"/>
  <c r="J96" i="1"/>
  <c r="I96" i="1"/>
  <c r="H96" i="1"/>
  <c r="L95" i="1"/>
  <c r="K95" i="1"/>
  <c r="J95" i="1"/>
  <c r="I95" i="1"/>
  <c r="H95" i="1"/>
  <c r="L94" i="1"/>
  <c r="K94" i="1"/>
  <c r="J94" i="1"/>
  <c r="I94" i="1"/>
  <c r="H94" i="1"/>
  <c r="L93" i="1"/>
  <c r="K93" i="1"/>
  <c r="J93" i="1"/>
  <c r="I93" i="1"/>
  <c r="H93" i="1"/>
  <c r="L92" i="1"/>
  <c r="K92" i="1"/>
  <c r="J92" i="1"/>
  <c r="I92" i="1"/>
  <c r="H92" i="1"/>
  <c r="L91" i="1"/>
  <c r="K91" i="1"/>
  <c r="J91" i="1"/>
  <c r="I91" i="1"/>
  <c r="H91" i="1"/>
  <c r="L90" i="1"/>
  <c r="K90" i="1"/>
  <c r="J90" i="1"/>
  <c r="I90" i="1"/>
  <c r="H90" i="1"/>
  <c r="L89" i="1"/>
  <c r="K89" i="1"/>
  <c r="J89" i="1"/>
  <c r="I89" i="1"/>
  <c r="H89" i="1"/>
  <c r="L88" i="1"/>
  <c r="K88" i="1"/>
  <c r="J88" i="1"/>
  <c r="I88" i="1"/>
  <c r="H88" i="1"/>
  <c r="L87" i="1"/>
  <c r="K87" i="1"/>
  <c r="J87" i="1"/>
  <c r="I87" i="1"/>
  <c r="H87" i="1"/>
  <c r="L86" i="1"/>
  <c r="K86" i="1"/>
  <c r="J86" i="1"/>
  <c r="I86" i="1"/>
  <c r="H86" i="1"/>
  <c r="L85" i="1"/>
  <c r="K85" i="1"/>
  <c r="J85" i="1"/>
  <c r="I85" i="1"/>
  <c r="H85" i="1"/>
  <c r="L84" i="1"/>
  <c r="K84" i="1"/>
  <c r="J84" i="1"/>
  <c r="I84" i="1"/>
  <c r="H84" i="1"/>
  <c r="L83" i="1"/>
  <c r="K83" i="1"/>
  <c r="J83" i="1"/>
  <c r="I83" i="1"/>
  <c r="H83" i="1"/>
  <c r="L82" i="1"/>
  <c r="K82" i="1"/>
  <c r="J82" i="1"/>
  <c r="I82" i="1"/>
  <c r="H82" i="1"/>
  <c r="L81" i="1"/>
  <c r="K81" i="1"/>
  <c r="J81" i="1"/>
  <c r="I81" i="1"/>
  <c r="H81" i="1"/>
  <c r="L80" i="1"/>
  <c r="K80" i="1"/>
  <c r="J80" i="1"/>
  <c r="I80" i="1"/>
  <c r="H80" i="1"/>
  <c r="L79" i="1"/>
  <c r="K79" i="1"/>
  <c r="J79" i="1"/>
  <c r="I79" i="1"/>
  <c r="H79" i="1"/>
  <c r="L78" i="1"/>
  <c r="K78" i="1"/>
  <c r="J78" i="1"/>
  <c r="I78" i="1"/>
  <c r="H78" i="1"/>
  <c r="L77" i="1"/>
  <c r="K77" i="1"/>
  <c r="J77" i="1"/>
  <c r="I77" i="1"/>
  <c r="H77" i="1"/>
  <c r="L76" i="1"/>
  <c r="K76" i="1"/>
  <c r="J76" i="1"/>
  <c r="I76" i="1"/>
  <c r="H76" i="1"/>
  <c r="L75" i="1"/>
  <c r="K75" i="1"/>
  <c r="J75" i="1"/>
  <c r="I75" i="1"/>
  <c r="H75" i="1"/>
  <c r="L74" i="1"/>
  <c r="K74" i="1"/>
  <c r="J74" i="1"/>
  <c r="I74" i="1"/>
  <c r="H74" i="1"/>
  <c r="L73" i="1"/>
  <c r="K73" i="1"/>
  <c r="J73" i="1"/>
  <c r="I73" i="1"/>
  <c r="H73" i="1"/>
  <c r="L72" i="1"/>
  <c r="K72" i="1"/>
  <c r="J72" i="1"/>
  <c r="I72" i="1"/>
  <c r="H72" i="1"/>
  <c r="L71" i="1"/>
  <c r="K71" i="1"/>
  <c r="J71" i="1"/>
  <c r="I71" i="1"/>
  <c r="H71" i="1"/>
  <c r="L70" i="1"/>
  <c r="K70" i="1"/>
  <c r="J70" i="1"/>
  <c r="I70" i="1"/>
  <c r="H70" i="1"/>
  <c r="L69" i="1"/>
  <c r="K69" i="1"/>
  <c r="J69" i="1"/>
  <c r="I69" i="1"/>
  <c r="H69" i="1"/>
  <c r="L68" i="1"/>
  <c r="K68" i="1"/>
  <c r="J68" i="1"/>
  <c r="I68" i="1"/>
  <c r="H68" i="1"/>
  <c r="L67" i="1"/>
  <c r="K67" i="1"/>
  <c r="J67" i="1"/>
  <c r="I67" i="1"/>
  <c r="H67" i="1"/>
  <c r="L66" i="1"/>
  <c r="K66" i="1"/>
  <c r="J66" i="1"/>
  <c r="I66" i="1"/>
  <c r="H66" i="1"/>
  <c r="L65" i="1"/>
  <c r="K65" i="1"/>
  <c r="J65" i="1"/>
  <c r="I65" i="1"/>
  <c r="H65" i="1"/>
  <c r="L64" i="1"/>
  <c r="K64" i="1"/>
  <c r="J64" i="1"/>
  <c r="I64" i="1"/>
  <c r="H64" i="1"/>
  <c r="L63" i="1"/>
  <c r="K63" i="1"/>
  <c r="J63" i="1"/>
  <c r="I63" i="1"/>
  <c r="H63" i="1"/>
  <c r="XFD62" i="1"/>
  <c r="L62" i="1"/>
  <c r="K62" i="1"/>
  <c r="J62" i="1"/>
  <c r="I62" i="1"/>
  <c r="H62" i="1"/>
  <c r="L61" i="1"/>
  <c r="K61" i="1"/>
  <c r="J61" i="1"/>
  <c r="I61" i="1"/>
  <c r="H61" i="1"/>
  <c r="L60" i="1"/>
  <c r="K60" i="1"/>
  <c r="J60" i="1"/>
  <c r="I60" i="1"/>
  <c r="H60" i="1"/>
  <c r="L59" i="1"/>
  <c r="K59" i="1"/>
  <c r="J59" i="1"/>
  <c r="I59" i="1"/>
  <c r="H59" i="1"/>
  <c r="L58" i="1"/>
  <c r="K58" i="1"/>
  <c r="J58" i="1"/>
  <c r="I58" i="1"/>
  <c r="H58" i="1"/>
  <c r="L57" i="1"/>
  <c r="K57" i="1"/>
  <c r="J57" i="1"/>
  <c r="I57" i="1"/>
  <c r="H57" i="1"/>
  <c r="L56" i="1"/>
  <c r="K56" i="1"/>
  <c r="J56" i="1"/>
  <c r="I56" i="1"/>
  <c r="H56" i="1"/>
  <c r="L55" i="1"/>
  <c r="K55" i="1"/>
  <c r="J55" i="1"/>
  <c r="I55" i="1"/>
  <c r="H55" i="1"/>
  <c r="L54" i="1"/>
  <c r="K54" i="1"/>
  <c r="J54" i="1"/>
  <c r="I54" i="1"/>
  <c r="H54" i="1"/>
  <c r="L53" i="1"/>
  <c r="K53" i="1"/>
  <c r="J53" i="1"/>
  <c r="I53" i="1"/>
  <c r="H53" i="1"/>
  <c r="L52" i="1"/>
  <c r="K52" i="1"/>
  <c r="J52" i="1"/>
  <c r="I52" i="1"/>
  <c r="H52" i="1"/>
  <c r="L51" i="1"/>
  <c r="K51" i="1"/>
  <c r="J51" i="1"/>
  <c r="I51" i="1"/>
  <c r="H51" i="1"/>
  <c r="L50" i="1"/>
  <c r="K50" i="1"/>
  <c r="J50" i="1"/>
  <c r="I50" i="1"/>
  <c r="H50" i="1"/>
  <c r="L49" i="1"/>
  <c r="K49" i="1"/>
  <c r="J49" i="1"/>
  <c r="I49" i="1"/>
  <c r="H49" i="1"/>
  <c r="L48" i="1"/>
  <c r="K48" i="1"/>
  <c r="J48" i="1"/>
  <c r="I48" i="1"/>
  <c r="H48" i="1"/>
  <c r="L47" i="1"/>
  <c r="K47" i="1"/>
  <c r="J47" i="1"/>
  <c r="I47" i="1"/>
  <c r="H47" i="1"/>
  <c r="L46" i="1"/>
  <c r="K46" i="1"/>
  <c r="J46" i="1"/>
  <c r="I46" i="1"/>
  <c r="H46" i="1"/>
  <c r="L45" i="1"/>
  <c r="K45" i="1"/>
  <c r="J45" i="1"/>
  <c r="I45" i="1"/>
  <c r="H45" i="1"/>
  <c r="L44" i="1"/>
  <c r="K44" i="1"/>
  <c r="J44" i="1"/>
  <c r="I44" i="1"/>
  <c r="H44" i="1"/>
  <c r="L43" i="1"/>
  <c r="K43" i="1"/>
  <c r="J43" i="1"/>
  <c r="I43" i="1"/>
  <c r="H43" i="1"/>
  <c r="L42" i="1"/>
  <c r="K42" i="1"/>
  <c r="J42" i="1"/>
  <c r="I42" i="1"/>
  <c r="H42" i="1"/>
  <c r="L41" i="1"/>
  <c r="K41" i="1"/>
  <c r="J41" i="1"/>
  <c r="I41" i="1"/>
  <c r="H41" i="1"/>
  <c r="L40" i="1"/>
  <c r="K40" i="1"/>
  <c r="J40" i="1"/>
  <c r="I40" i="1"/>
  <c r="H40" i="1"/>
  <c r="L39" i="1"/>
  <c r="K39" i="1"/>
  <c r="J39" i="1"/>
  <c r="I39" i="1"/>
  <c r="H39" i="1"/>
  <c r="L38" i="1"/>
  <c r="K38" i="1"/>
  <c r="J38" i="1"/>
  <c r="I38" i="1"/>
  <c r="H38" i="1"/>
  <c r="L37" i="1"/>
  <c r="K37" i="1"/>
  <c r="J37" i="1"/>
  <c r="I37" i="1"/>
  <c r="H37" i="1"/>
  <c r="L36" i="1"/>
  <c r="K36" i="1"/>
  <c r="J36" i="1"/>
  <c r="I36" i="1"/>
  <c r="H36" i="1"/>
  <c r="L35" i="1"/>
  <c r="K35" i="1"/>
  <c r="J35" i="1"/>
  <c r="I35" i="1"/>
  <c r="H35" i="1"/>
  <c r="L34" i="1"/>
  <c r="K34" i="1"/>
  <c r="J34" i="1"/>
  <c r="I34" i="1"/>
  <c r="H34" i="1"/>
  <c r="L33" i="1"/>
  <c r="K33" i="1"/>
  <c r="J33" i="1"/>
  <c r="I33" i="1"/>
  <c r="H33" i="1"/>
  <c r="L32" i="1"/>
  <c r="K32" i="1"/>
  <c r="J32" i="1"/>
  <c r="I32" i="1"/>
  <c r="H32" i="1"/>
  <c r="L31" i="1"/>
  <c r="K31" i="1"/>
  <c r="J31" i="1"/>
  <c r="I31" i="1"/>
  <c r="H31" i="1"/>
  <c r="L30" i="1"/>
  <c r="K30" i="1"/>
  <c r="J30" i="1"/>
  <c r="I30" i="1"/>
  <c r="H30" i="1"/>
  <c r="L29" i="1"/>
  <c r="K29" i="1"/>
  <c r="J29" i="1"/>
  <c r="I29" i="1"/>
  <c r="H29" i="1"/>
  <c r="L28" i="1"/>
  <c r="K28" i="1"/>
  <c r="J28" i="1"/>
  <c r="I28" i="1"/>
  <c r="H28" i="1"/>
  <c r="L27" i="1"/>
  <c r="K27" i="1"/>
  <c r="J27" i="1"/>
  <c r="I27" i="1"/>
  <c r="H27" i="1"/>
  <c r="L26" i="1"/>
  <c r="K26" i="1"/>
  <c r="J26" i="1"/>
  <c r="I26" i="1"/>
  <c r="H26" i="1"/>
  <c r="L25" i="1"/>
  <c r="K25" i="1"/>
  <c r="J25" i="1"/>
  <c r="I25" i="1"/>
  <c r="H25" i="1"/>
  <c r="L24" i="1"/>
  <c r="K24" i="1"/>
  <c r="J24" i="1"/>
  <c r="I24" i="1"/>
  <c r="H24" i="1"/>
  <c r="L23" i="1"/>
  <c r="K23" i="1"/>
  <c r="J23" i="1"/>
  <c r="I23" i="1"/>
  <c r="H23" i="1"/>
  <c r="L22" i="1"/>
  <c r="K22" i="1"/>
  <c r="J22" i="1"/>
  <c r="I22" i="1"/>
  <c r="H22" i="1"/>
  <c r="L21" i="1"/>
  <c r="K21" i="1"/>
  <c r="J21" i="1"/>
  <c r="I21" i="1"/>
  <c r="H21" i="1"/>
  <c r="L20" i="1"/>
  <c r="K20" i="1"/>
  <c r="J20" i="1"/>
  <c r="I20" i="1"/>
  <c r="H20" i="1"/>
  <c r="L19" i="1"/>
  <c r="K19" i="1"/>
  <c r="J19" i="1"/>
  <c r="I19" i="1"/>
  <c r="H19" i="1"/>
  <c r="L18" i="1"/>
  <c r="K18" i="1"/>
  <c r="J18" i="1"/>
  <c r="I18" i="1"/>
  <c r="H18" i="1"/>
  <c r="L17" i="1"/>
  <c r="K17" i="1"/>
  <c r="J17" i="1"/>
  <c r="I17" i="1"/>
  <c r="H17" i="1"/>
  <c r="L16" i="1"/>
  <c r="K16" i="1"/>
  <c r="J16" i="1"/>
  <c r="I16" i="1"/>
  <c r="H16" i="1"/>
  <c r="L15" i="1"/>
  <c r="K15" i="1"/>
  <c r="J15" i="1"/>
  <c r="I15" i="1"/>
  <c r="H15" i="1"/>
  <c r="L14" i="1"/>
  <c r="K14" i="1"/>
  <c r="J14" i="1"/>
  <c r="I14" i="1"/>
  <c r="H14" i="1"/>
  <c r="L13" i="1"/>
  <c r="K13" i="1"/>
  <c r="J13" i="1"/>
  <c r="I13" i="1"/>
  <c r="H13" i="1"/>
  <c r="L12" i="1"/>
  <c r="K12" i="1"/>
  <c r="J12" i="1"/>
  <c r="I12" i="1"/>
  <c r="H12" i="1"/>
  <c r="L11" i="1"/>
  <c r="K11" i="1"/>
  <c r="J11" i="1"/>
  <c r="I11" i="1"/>
  <c r="H11" i="1"/>
  <c r="L10" i="1"/>
  <c r="K10" i="1"/>
  <c r="J10" i="1"/>
  <c r="I10" i="1"/>
  <c r="H10" i="1"/>
  <c r="L9" i="1"/>
  <c r="K9" i="1"/>
  <c r="J9" i="1"/>
  <c r="I9" i="1"/>
  <c r="H9" i="1"/>
  <c r="L8" i="1"/>
  <c r="K8" i="1"/>
  <c r="J8" i="1"/>
  <c r="I8" i="1"/>
  <c r="H8" i="1"/>
  <c r="L7" i="1"/>
  <c r="K7" i="1"/>
  <c r="J7" i="1"/>
  <c r="I7" i="1"/>
  <c r="H7" i="1"/>
  <c r="L6" i="1"/>
  <c r="K6" i="1"/>
  <c r="J6" i="1"/>
  <c r="I6" i="1"/>
  <c r="H6" i="1"/>
  <c r="M225" i="5" l="1"/>
  <c r="M245" i="5"/>
  <c r="M246" i="5"/>
</calcChain>
</file>

<file path=xl/sharedStrings.xml><?xml version="1.0" encoding="utf-8"?>
<sst xmlns="http://schemas.openxmlformats.org/spreadsheetml/2006/main" count="4218" uniqueCount="1060">
  <si>
    <t xml:space="preserve">Mwai Kibaki Referral Hospital P. O. Box 541-10106-OTHAYA                                                                                                                                                                                                     </t>
  </si>
  <si>
    <t>INTERIM DRUG STORE REPORT, JANUARY 2026</t>
  </si>
  <si>
    <t>KNH CAT</t>
  </si>
  <si>
    <t>ITEM DESCRIPTION</t>
  </si>
  <si>
    <t>PHARMACEUTICAL DOSAGE FORM</t>
  </si>
  <si>
    <t>UNIT OF ISSUE</t>
  </si>
  <si>
    <t>UNIT PRICE</t>
  </si>
  <si>
    <t>S3 BAL</t>
  </si>
  <si>
    <t>PHYSICAL STOCK</t>
  </si>
  <si>
    <t>QTY DEF</t>
  </si>
  <si>
    <t>VALUE OF DEF</t>
  </si>
  <si>
    <t>QTY SURPLUS</t>
  </si>
  <si>
    <t>VALUE OF SURPLUS</t>
  </si>
  <si>
    <t>VALUE OF PHY. STOCK</t>
  </si>
  <si>
    <t>REMARKS</t>
  </si>
  <si>
    <t>SA002</t>
  </si>
  <si>
    <t>Bupivacaine + Glucose</t>
  </si>
  <si>
    <t>Injection for spinal anaesthesia, bupivacaine 0.5% (5mg/ml) as hydrochloride to be mixed with 7.5% (75mg/ml) glucose solution</t>
  </si>
  <si>
    <t>4ml Ampoule</t>
  </si>
  <si>
    <t>5/2028</t>
  </si>
  <si>
    <t>SA003A</t>
  </si>
  <si>
    <t>Bupivacaine</t>
  </si>
  <si>
    <t>Injection, 0.5% (5mg/ml) (as hydrochloride), preservative free(MACAINE)</t>
  </si>
  <si>
    <t>10ml Ampoule</t>
  </si>
  <si>
    <t>4/2027</t>
  </si>
  <si>
    <t>SA004</t>
  </si>
  <si>
    <t>Diazepam</t>
  </si>
  <si>
    <t>Injection, 5mg/ml</t>
  </si>
  <si>
    <t>2ml Ampoule</t>
  </si>
  <si>
    <t>6/2027</t>
  </si>
  <si>
    <t>SA007</t>
  </si>
  <si>
    <t>Halothane</t>
  </si>
  <si>
    <t>Solution for inhalation</t>
  </si>
  <si>
    <t>250ml Amber Bottle</t>
  </si>
  <si>
    <t>4/2028</t>
  </si>
  <si>
    <t>SA008</t>
  </si>
  <si>
    <t>Ketamine</t>
  </si>
  <si>
    <t>Injection, 50 mg/ml (as hydrochloride)</t>
  </si>
  <si>
    <t>10ml Vial</t>
  </si>
  <si>
    <t>1/2028</t>
  </si>
  <si>
    <t>SA010</t>
  </si>
  <si>
    <t>Lignocaine</t>
  </si>
  <si>
    <t>Injection,10mg/ml (1%)</t>
  </si>
  <si>
    <t>10/2029</t>
  </si>
  <si>
    <t>SA011</t>
  </si>
  <si>
    <t>Lignocaine Hci 2% + Adrenaline (Dental Catridges)</t>
  </si>
  <si>
    <t>Injection, dental cartridge, lidocaine 2% (as hydrochloride) + epinephrine 1:80 000</t>
  </si>
  <si>
    <t>Cartridge</t>
  </si>
  <si>
    <t>7/2027</t>
  </si>
  <si>
    <t>SA016</t>
  </si>
  <si>
    <t>Midazolam</t>
  </si>
  <si>
    <t>3ml Ampoule</t>
  </si>
  <si>
    <t>5/2027</t>
  </si>
  <si>
    <t>SA017</t>
  </si>
  <si>
    <t>Neostigmine</t>
  </si>
  <si>
    <t>Injection, 2.5mg/ml (as metilsulfate)</t>
  </si>
  <si>
    <t>1ml Ampoule</t>
  </si>
  <si>
    <t>9/2029</t>
  </si>
  <si>
    <t>SA021</t>
  </si>
  <si>
    <t>Propofol</t>
  </si>
  <si>
    <t>Injection, emulsion for intravenous Injection, 200mg (10mg/ml)</t>
  </si>
  <si>
    <t>20ml Ampoule</t>
  </si>
  <si>
    <t>SA023</t>
  </si>
  <si>
    <t>Suxamethoni um</t>
  </si>
  <si>
    <t>Injection, 50mg/ml (as chloride)</t>
  </si>
  <si>
    <t>4/2026, 6/2026</t>
  </si>
  <si>
    <t>SA032</t>
  </si>
  <si>
    <t>Ephedrine</t>
  </si>
  <si>
    <t>Injection, 30mg/ml (as</t>
  </si>
  <si>
    <t>3/2028</t>
  </si>
  <si>
    <t>SA037A</t>
  </si>
  <si>
    <t>Sevoflurane</t>
  </si>
  <si>
    <t>Solution for Inhalation</t>
  </si>
  <si>
    <t>250ml Bottle</t>
  </si>
  <si>
    <t>SB002</t>
  </si>
  <si>
    <t>Allopurinol</t>
  </si>
  <si>
    <t>Tablet, 100mg</t>
  </si>
  <si>
    <t>Tablet, Blister</t>
  </si>
  <si>
    <t>10/2027</t>
  </si>
  <si>
    <t>SB013</t>
  </si>
  <si>
    <t>Ibuprofen</t>
  </si>
  <si>
    <t>Tablet, 200mg, sugar coated</t>
  </si>
  <si>
    <t>SB014</t>
  </si>
  <si>
    <t>Syrup, 100mg/5ml</t>
  </si>
  <si>
    <t>100ml Bottle</t>
  </si>
  <si>
    <t>9/2028</t>
  </si>
  <si>
    <t>SB028</t>
  </si>
  <si>
    <t>Paracetamol</t>
  </si>
  <si>
    <t>tablet, 500mg</t>
  </si>
  <si>
    <t>Caplet, Blister pack</t>
  </si>
  <si>
    <t>SB031</t>
  </si>
  <si>
    <t>Syrup, 120mg/5ml</t>
  </si>
  <si>
    <t>SB037</t>
  </si>
  <si>
    <t>Tramadol</t>
  </si>
  <si>
    <t>Capsule, 50mg ( as hydrochloride)</t>
  </si>
  <si>
    <t>Capsule, Blister</t>
  </si>
  <si>
    <t>SB038</t>
  </si>
  <si>
    <t>Injection, solution for injection, 50mg/ml (as hydrochloride)</t>
  </si>
  <si>
    <t>8/2026</t>
  </si>
  <si>
    <t>SB039A</t>
  </si>
  <si>
    <t>Meloxicam</t>
  </si>
  <si>
    <t>Tablet, 7.5mg</t>
  </si>
  <si>
    <t>SB041</t>
  </si>
  <si>
    <t>Suppository, 125mg</t>
  </si>
  <si>
    <t>Supposit ory</t>
  </si>
  <si>
    <t>SB041B</t>
  </si>
  <si>
    <t>Suppository, 250mg</t>
  </si>
  <si>
    <t>Suppository</t>
  </si>
  <si>
    <t>SB042</t>
  </si>
  <si>
    <t>Diclofenac</t>
  </si>
  <si>
    <t>Suppository, 100mg</t>
  </si>
  <si>
    <t>8/2028</t>
  </si>
  <si>
    <t>SB044</t>
  </si>
  <si>
    <t>Injection, solution for intravenous infusion,</t>
  </si>
  <si>
    <t>100ml Vial</t>
  </si>
  <si>
    <t>SB047</t>
  </si>
  <si>
    <t>Hydroxychloroquin</t>
  </si>
  <si>
    <t>Tablet, 200mg ( as sulfate)</t>
  </si>
  <si>
    <t>Tablet, Blister pack</t>
  </si>
  <si>
    <t>7/2028</t>
  </si>
  <si>
    <t>SB055</t>
  </si>
  <si>
    <t>Celecoxib</t>
  </si>
  <si>
    <t>Capsule, 200mg</t>
  </si>
  <si>
    <t>Capsule, Blister pack</t>
  </si>
  <si>
    <t>2/2028</t>
  </si>
  <si>
    <t>SB064</t>
  </si>
  <si>
    <t>Ketorolac</t>
  </si>
  <si>
    <t>Injection, solution for injection, 30mg/ml ( as</t>
  </si>
  <si>
    <t>SB065</t>
  </si>
  <si>
    <t>Tablet, 10mg ( as trometamol)</t>
  </si>
  <si>
    <t>7/2026</t>
  </si>
  <si>
    <t>SB35</t>
  </si>
  <si>
    <t>Febuxostat</t>
  </si>
  <si>
    <t>Tablet, 40mg</t>
  </si>
  <si>
    <t>Blister pack</t>
  </si>
  <si>
    <t>9/2026</t>
  </si>
  <si>
    <t>SB085A</t>
  </si>
  <si>
    <t>Dexketoprofen</t>
  </si>
  <si>
    <t>Tablet,25mg</t>
  </si>
  <si>
    <t>9/2027</t>
  </si>
  <si>
    <t>SC016</t>
  </si>
  <si>
    <t>Fluoxetine</t>
  </si>
  <si>
    <t>Capsule, 20 mg (as hydrochloride)</t>
  </si>
  <si>
    <t>5/2026</t>
  </si>
  <si>
    <t>SC024</t>
  </si>
  <si>
    <t>Olanzepine</t>
  </si>
  <si>
    <t>Tablet, 5mg</t>
  </si>
  <si>
    <t>SC040</t>
  </si>
  <si>
    <t>Phenobarbital</t>
  </si>
  <si>
    <t>Tablet, 30mg, , scored</t>
  </si>
  <si>
    <t>SC045</t>
  </si>
  <si>
    <t>Injection, 200mg/ml (as sodium)</t>
  </si>
  <si>
    <t>Ampoule</t>
  </si>
  <si>
    <t>SC046</t>
  </si>
  <si>
    <t>Sodium valproate (valproic acid)</t>
  </si>
  <si>
    <t>Tablet, 200mg (as sodium), enteric coated</t>
  </si>
  <si>
    <t>SC046B</t>
  </si>
  <si>
    <t>Oral solution (syrup), 200mg/5ml</t>
  </si>
  <si>
    <t>300ml Bottle</t>
  </si>
  <si>
    <t>8/2027</t>
  </si>
  <si>
    <t>SC052</t>
  </si>
  <si>
    <t>Ondansetron</t>
  </si>
  <si>
    <t>Injection,solution for injection, 2mg/ml (as hydrochloride)</t>
  </si>
  <si>
    <t>SC052A</t>
  </si>
  <si>
    <t>Oral solution, 2mg/5ml</t>
  </si>
  <si>
    <t>30 ml Bottle</t>
  </si>
  <si>
    <t>11/2026</t>
  </si>
  <si>
    <t>SC060</t>
  </si>
  <si>
    <t>Flupentixol</t>
  </si>
  <si>
    <t>Injection, oily solution for injection (as Decanoate), 20mg/ml</t>
  </si>
  <si>
    <t>SC216</t>
  </si>
  <si>
    <t>Fluphenazine injection</t>
  </si>
  <si>
    <t>Oily injection, 25mg/mL,1mL</t>
  </si>
  <si>
    <t>SH420</t>
  </si>
  <si>
    <t>Mirabegron 50mg</t>
  </si>
  <si>
    <t>tablets</t>
  </si>
  <si>
    <t>SC077</t>
  </si>
  <si>
    <t>Pregabalin</t>
  </si>
  <si>
    <t>Capsule, 75mg</t>
  </si>
  <si>
    <t>Capsule</t>
  </si>
  <si>
    <t>SC085</t>
  </si>
  <si>
    <t>Tablet, 4mg (as hydrochloride)</t>
  </si>
  <si>
    <t>SC093</t>
  </si>
  <si>
    <t>Levetiracetam</t>
  </si>
  <si>
    <t>Tablet, 750mg(levipil)</t>
  </si>
  <si>
    <t>Tablet</t>
  </si>
  <si>
    <t>SC093C</t>
  </si>
  <si>
    <t>Tablet, 500mg, Scored tablet</t>
  </si>
  <si>
    <t>12/2027</t>
  </si>
  <si>
    <t>100MG/ML INJECTION</t>
  </si>
  <si>
    <t>Vial</t>
  </si>
  <si>
    <t>SD006</t>
  </si>
  <si>
    <t>Bisacodyl</t>
  </si>
  <si>
    <t>Tablet, 5mg, enteric coated</t>
  </si>
  <si>
    <t>SD015</t>
  </si>
  <si>
    <t>Hyoscine</t>
  </si>
  <si>
    <t>Tablet, 10mg (as butylbromide), coated</t>
  </si>
  <si>
    <t>6/2028</t>
  </si>
  <si>
    <t>SD016</t>
  </si>
  <si>
    <t>Injection, solution for injection, 20mg/ml (as butylbromide )</t>
  </si>
  <si>
    <t>3/2027, 2/2028</t>
  </si>
  <si>
    <t>SD022A</t>
  </si>
  <si>
    <t>Omeprazole</t>
  </si>
  <si>
    <t>Injection, powder for reconstitution, 40mg (as sodium)</t>
  </si>
  <si>
    <t>SD032</t>
  </si>
  <si>
    <t>Esomeprazole</t>
  </si>
  <si>
    <t>Granules for oral suspension, 10mg</t>
  </si>
  <si>
    <t>Sachet</t>
  </si>
  <si>
    <t>SD050</t>
  </si>
  <si>
    <t>Solifenacin</t>
  </si>
  <si>
    <t>Tablet, 5mg as succinate</t>
  </si>
  <si>
    <t>6/2026</t>
  </si>
  <si>
    <t>SE016</t>
  </si>
  <si>
    <t>Dopamine</t>
  </si>
  <si>
    <t>Injection, solution for injection, 40mg/ml (as hydrochloride)</t>
  </si>
  <si>
    <t>5ml Vial/Ampoule</t>
  </si>
  <si>
    <t>SE018A</t>
  </si>
  <si>
    <t>Enalapril</t>
  </si>
  <si>
    <t>Tablet, 5mg (as hydromaleate), scored</t>
  </si>
  <si>
    <t>SE2103</t>
  </si>
  <si>
    <t xml:space="preserve">Rosuvastatin </t>
  </si>
  <si>
    <t>Tablets, 10mg</t>
  </si>
  <si>
    <t>Tablets</t>
  </si>
  <si>
    <t>SE027</t>
  </si>
  <si>
    <t>Losartan</t>
  </si>
  <si>
    <t>Tablet, 50mg (as Potassium)</t>
  </si>
  <si>
    <t>SE033</t>
  </si>
  <si>
    <t>Noradrenalin e</t>
  </si>
  <si>
    <t>Injection, solution for injection, 2mg/ml</t>
  </si>
  <si>
    <t>SE043</t>
  </si>
  <si>
    <t>Furosemide</t>
  </si>
  <si>
    <t>SE044</t>
  </si>
  <si>
    <t>Injection, solution for injection, 10mg/ml</t>
  </si>
  <si>
    <t xml:space="preserve"> 2ml Ampoule</t>
  </si>
  <si>
    <t>3/2027</t>
  </si>
  <si>
    <t>SE047</t>
  </si>
  <si>
    <t>Spironolacto ne</t>
  </si>
  <si>
    <t>Tablet, 25mg</t>
  </si>
  <si>
    <t>SE051B</t>
  </si>
  <si>
    <t>Low molecular weight heparin (Enoxaparin)</t>
  </si>
  <si>
    <t>Injection, solution for injection, 100mg/ml</t>
  </si>
  <si>
    <t>0.6ml prefilled syringe</t>
  </si>
  <si>
    <t>SE051C</t>
  </si>
  <si>
    <t>0.8ml prefilled syringe</t>
  </si>
  <si>
    <t>SE053</t>
  </si>
  <si>
    <t>Heparin</t>
  </si>
  <si>
    <t>Injection, solution for injection, 5000IU/ml (as sodium)</t>
  </si>
  <si>
    <t>5ml Vial</t>
  </si>
  <si>
    <t>SE055</t>
  </si>
  <si>
    <t xml:space="preserve"> Tranexamic acid</t>
  </si>
  <si>
    <t>5ml Ampoule</t>
  </si>
  <si>
    <t>SE068</t>
  </si>
  <si>
    <t>Magnesium</t>
  </si>
  <si>
    <t>Injection, solution for injection, 4% (as sulfate )</t>
  </si>
  <si>
    <t>SE070</t>
  </si>
  <si>
    <t>Mannitol</t>
  </si>
  <si>
    <t>Injection, solution for infusion, 20%</t>
  </si>
  <si>
    <t xml:space="preserve"> 500ml Bottle</t>
  </si>
  <si>
    <t>SE074A</t>
  </si>
  <si>
    <t>Hydrochlorthiazide</t>
  </si>
  <si>
    <t>Tablet, 25mg, scored</t>
  </si>
  <si>
    <t>SE075</t>
  </si>
  <si>
    <t xml:space="preserve"> Amlodipine  + Losartan</t>
  </si>
  <si>
    <t>Tablet, amlodipine 5mg + losartan 50mg</t>
  </si>
  <si>
    <t>SE094</t>
  </si>
  <si>
    <t>Labetalol</t>
  </si>
  <si>
    <t>Injection, solution for injection, 5mg/ml (as hydrochloride)</t>
  </si>
  <si>
    <t>SE133</t>
  </si>
  <si>
    <t>Telmisartan</t>
  </si>
  <si>
    <t>SE133A</t>
  </si>
  <si>
    <t>Telmisartan + Hydrochlorthiazide</t>
  </si>
  <si>
    <t>tablet 80mg / 12.5mg</t>
  </si>
  <si>
    <t>SE136B</t>
  </si>
  <si>
    <t>Rivaroxaban</t>
  </si>
  <si>
    <t>Tablet, 15mg</t>
  </si>
  <si>
    <t>SF003</t>
  </si>
  <si>
    <t>Amoxicillin + Clavulanic Acid</t>
  </si>
  <si>
    <t>Injection, powder for reconstitution 1.2gm, (Amoxicillin (sodium) 1gm + Clavulanic Acid (potassium clavulanate) 200mg)</t>
  </si>
  <si>
    <t>SF005A</t>
  </si>
  <si>
    <t>Dispersible Tablet, Amoxicillin (trihydrate) 200mg + Clavulanic Acid (Potassium clavulanate) 28mg</t>
  </si>
  <si>
    <t>SF008</t>
  </si>
  <si>
    <t>Tablet, Amoxicillin (trihydrate) 500mg + Clavulanic Acid (Potassium clavulanate) 125mg</t>
  </si>
  <si>
    <t>SF011A</t>
  </si>
  <si>
    <t xml:space="preserve">Amoxicillin </t>
  </si>
  <si>
    <t>Powder for oral suspension, 250mg/5ml, (trihydrate) anhydrous.</t>
  </si>
  <si>
    <t>SF019</t>
  </si>
  <si>
    <t>Azithromycin</t>
  </si>
  <si>
    <t>Tablet, 500mg</t>
  </si>
  <si>
    <t>Tablet, 3's, Blister pack</t>
  </si>
  <si>
    <t>2/2027</t>
  </si>
  <si>
    <t>SF019A</t>
  </si>
  <si>
    <t>Suspension, Powder for reconstitution, 200mg/5ml</t>
  </si>
  <si>
    <t>30ml Bottle</t>
  </si>
  <si>
    <t>7/2026, 7/2027</t>
  </si>
  <si>
    <t>SF021</t>
  </si>
  <si>
    <t>Benzylpenicill in</t>
  </si>
  <si>
    <t>Injection, powder for reconstitution,600mg (1 million IU)(sodium or potassium)</t>
  </si>
  <si>
    <t>SF024</t>
  </si>
  <si>
    <t>Cefuroxime</t>
  </si>
  <si>
    <t>Injection, powder for reconstitution, 750mg (as sodium )</t>
  </si>
  <si>
    <t>SF026</t>
  </si>
  <si>
    <t>Ceftriaxone</t>
  </si>
  <si>
    <t>Injection, powder for reconstitution, 1gm ( as sodium salt)</t>
  </si>
  <si>
    <t>SF056</t>
  </si>
  <si>
    <t>Gentamicin</t>
  </si>
  <si>
    <t>Injection, solution for injection, 40mg/ml, (as sulfate)</t>
  </si>
  <si>
    <t>2ml Ampoule /Vial</t>
  </si>
  <si>
    <t>SF059</t>
  </si>
  <si>
    <t>Meropenem</t>
  </si>
  <si>
    <t>Injection, powder for reconstitution, 1gm</t>
  </si>
  <si>
    <t>SF059A</t>
  </si>
  <si>
    <t>Injection, powder for reconstitution, 500mg</t>
  </si>
  <si>
    <t>12/2026</t>
  </si>
  <si>
    <t>SF061</t>
  </si>
  <si>
    <t>Metronidazol e</t>
  </si>
  <si>
    <t>Injection, solution for infusion, 500mg</t>
  </si>
  <si>
    <t>100ml Bottle / Collapsible Bags</t>
  </si>
  <si>
    <t>6/2028, 4/2028</t>
  </si>
  <si>
    <t>SF062</t>
  </si>
  <si>
    <t>Metronidazole</t>
  </si>
  <si>
    <t>Oral suspension, 200mg/5ml (as benzoate)</t>
  </si>
  <si>
    <t>9/2026, 12/2027</t>
  </si>
  <si>
    <t>SF067</t>
  </si>
  <si>
    <t>Nitrofurantoin</t>
  </si>
  <si>
    <t>SF071</t>
  </si>
  <si>
    <t>Piperacillin + Tazobactam</t>
  </si>
  <si>
    <t>Injection, powder for reconstitution, Piperacillin 4gm (as sodium) + Tazobactam 500mg (as sodium)</t>
  </si>
  <si>
    <t>11/27, 7/2027</t>
  </si>
  <si>
    <t>SF084</t>
  </si>
  <si>
    <t>Vancomycin</t>
  </si>
  <si>
    <t>Injection, powder for reconstitution, 500mg (as hydrochloride)</t>
  </si>
  <si>
    <t>SF104</t>
  </si>
  <si>
    <t>Amoxicillin + clavulanic Acid</t>
  </si>
  <si>
    <t>Tablet, Amoxicillin (trihydrate) 875mg + Clavulanic Acid (Potassium clavulanate) 125mg</t>
  </si>
  <si>
    <t>SF111</t>
  </si>
  <si>
    <t>Cefazolin</t>
  </si>
  <si>
    <t>3/2026</t>
  </si>
  <si>
    <t>SF111A</t>
  </si>
  <si>
    <t>SG001A</t>
  </si>
  <si>
    <t>Aciclovir</t>
  </si>
  <si>
    <t>Injection, powder for reconstitution, 250mg (as sodium salt)</t>
  </si>
  <si>
    <t>4/27</t>
  </si>
  <si>
    <t>Clotrimazole</t>
  </si>
  <si>
    <t>Vaginal Tablet, 500mg</t>
  </si>
  <si>
    <t>Griseofulvin</t>
  </si>
  <si>
    <t>Tablet, 500mg, scored</t>
  </si>
  <si>
    <t>SG072</t>
  </si>
  <si>
    <t>Itraconazole</t>
  </si>
  <si>
    <t>Capsule, 100mg</t>
  </si>
  <si>
    <t>SG077</t>
  </si>
  <si>
    <t>Terbinafine</t>
  </si>
  <si>
    <t>Tablet, 250mg, scored</t>
  </si>
  <si>
    <t>SG078</t>
  </si>
  <si>
    <t>Topical cream, 1%</t>
  </si>
  <si>
    <t>15g Tube</t>
  </si>
  <si>
    <t>SH005C</t>
  </si>
  <si>
    <t>Folinic acid</t>
  </si>
  <si>
    <t>Injection, solution or powder for reconstitution, 300mg (as calcium folinate)</t>
  </si>
  <si>
    <t>4/2026</t>
  </si>
  <si>
    <t>SH007</t>
  </si>
  <si>
    <t>Cisplatin</t>
  </si>
  <si>
    <t>Injection, solution for injection 1mg/ml, 50mg</t>
  </si>
  <si>
    <t>50ml Vial</t>
  </si>
  <si>
    <t>SH017</t>
  </si>
  <si>
    <t>Fluorouracil</t>
  </si>
  <si>
    <t>Injection, solution for injection, 500 mg/ml</t>
  </si>
  <si>
    <t>5ml Ampoule/Vial</t>
  </si>
  <si>
    <t>SH021</t>
  </si>
  <si>
    <t>Methotrexate</t>
  </si>
  <si>
    <t>Tablet, 2.5mg</t>
  </si>
  <si>
    <t>3/2027, 9/2027</t>
  </si>
  <si>
    <t>SH033</t>
  </si>
  <si>
    <t>Recombinant granulocyte colony stimulating factor (GCSF)/Filgrastim</t>
  </si>
  <si>
    <t>Injection, prefilled syringe for Injection, 30 miu (300 micrograms)/0.5ml</t>
  </si>
  <si>
    <t>Prefilled syringe</t>
  </si>
  <si>
    <t>SH037</t>
  </si>
  <si>
    <t>Gemcetabine</t>
  </si>
  <si>
    <t>SH040</t>
  </si>
  <si>
    <t>Docetaxel</t>
  </si>
  <si>
    <t>solution for injection, 80mg</t>
  </si>
  <si>
    <t>SH048</t>
  </si>
  <si>
    <t>Zoledronic Acid</t>
  </si>
  <si>
    <t>Injection, powder for reconstitution, 4mg</t>
  </si>
  <si>
    <t>SH049</t>
  </si>
  <si>
    <t>Capecitabine 500mg</t>
  </si>
  <si>
    <t>tablet 500mg</t>
  </si>
  <si>
    <t>tablet</t>
  </si>
  <si>
    <t>1/2027</t>
  </si>
  <si>
    <t>SH050</t>
  </si>
  <si>
    <t>Irinotecan</t>
  </si>
  <si>
    <t>Injection, solution for injection, 100mg</t>
  </si>
  <si>
    <t>SH059A</t>
  </si>
  <si>
    <t>Bevacizumab</t>
  </si>
  <si>
    <t>Injection Solution,25mg/ml</t>
  </si>
  <si>
    <t>16ml Vial</t>
  </si>
  <si>
    <t>SH061</t>
  </si>
  <si>
    <t>Letrozole</t>
  </si>
  <si>
    <t>SH076A</t>
  </si>
  <si>
    <t>Epirubicin</t>
  </si>
  <si>
    <t>Injection, powder for reconstitution, 50mg</t>
  </si>
  <si>
    <t>SJ001</t>
  </si>
  <si>
    <t>Atropine</t>
  </si>
  <si>
    <t>Injection, 0.6 or 1 mg/ml (As sulfate)</t>
  </si>
  <si>
    <t>3/27, 7/2027</t>
  </si>
  <si>
    <t>SJ003</t>
  </si>
  <si>
    <t>Naloxone</t>
  </si>
  <si>
    <t>Injection, 400 hydrochloride)micrograms (as</t>
  </si>
  <si>
    <t>SJ013</t>
  </si>
  <si>
    <t>Short acting insulin (soluble/regular)</t>
  </si>
  <si>
    <t>Injection, short acting human insulin, 100iu/ml</t>
  </si>
  <si>
    <t>SJ016</t>
  </si>
  <si>
    <t>Carbimazole</t>
  </si>
  <si>
    <t>Tablet,5mg</t>
  </si>
  <si>
    <t>SJ026</t>
  </si>
  <si>
    <t>Dexamethas one</t>
  </si>
  <si>
    <t>Injection, 4mg/ml (as phosphate disodium salt)</t>
  </si>
  <si>
    <t>SJ031</t>
  </si>
  <si>
    <t>Prednisolone</t>
  </si>
  <si>
    <t>SJ032</t>
  </si>
  <si>
    <t>Metformin</t>
  </si>
  <si>
    <t>Tablet, 500 mg (as hydrochloride)</t>
  </si>
  <si>
    <t>Tablet , Blister pack</t>
  </si>
  <si>
    <t>SJ038</t>
  </si>
  <si>
    <t>Hydrocortisone</t>
  </si>
  <si>
    <t>Injection, powder for reconstitution, 100mg (as sodium succinate)</t>
  </si>
  <si>
    <t>SJ042</t>
  </si>
  <si>
    <t>Insulin Isophane 70%+ Regular 30% Vial -Mixtard</t>
  </si>
  <si>
    <t>solution for injection</t>
  </si>
  <si>
    <t>SJ043</t>
  </si>
  <si>
    <t>Atorvastatin</t>
  </si>
  <si>
    <t>Tablet, 20mg (as calcium trihydrate)</t>
  </si>
  <si>
    <t>SJ043A</t>
  </si>
  <si>
    <t>Tablet,40mg</t>
  </si>
  <si>
    <t>Tablet, Blister pack of 30's</t>
  </si>
  <si>
    <t>SJ063</t>
  </si>
  <si>
    <t>Tablet, 1gm</t>
  </si>
  <si>
    <t>SJ085</t>
  </si>
  <si>
    <t>Gliclazide MR</t>
  </si>
  <si>
    <t>Tablet, 60mg, scored, modified release</t>
  </si>
  <si>
    <t>SJ095A</t>
  </si>
  <si>
    <t>Sitagliptin</t>
  </si>
  <si>
    <t>SJ097</t>
  </si>
  <si>
    <t>Metformin + Sitagliptin</t>
  </si>
  <si>
    <t>TABLET,Metformin 500mg +Sitagliptin 50mg</t>
  </si>
  <si>
    <t>SJ098</t>
  </si>
  <si>
    <t>TABLET,Metformin 1000mg +Sitagliptin 50mg</t>
  </si>
  <si>
    <t>SJ099</t>
  </si>
  <si>
    <t>Empagliflozin</t>
  </si>
  <si>
    <t>Tablet, 10mg</t>
  </si>
  <si>
    <t>SK007</t>
  </si>
  <si>
    <t>Betamethasone</t>
  </si>
  <si>
    <t>Ointment, 0.1 % ( as valerate)</t>
  </si>
  <si>
    <t>15gm Tube</t>
  </si>
  <si>
    <t>SK020</t>
  </si>
  <si>
    <t>Hydrocortiso ne</t>
  </si>
  <si>
    <t>Ointment, 1 % (as acetate)</t>
  </si>
  <si>
    <t>500gm Tin</t>
  </si>
  <si>
    <t>SK036</t>
  </si>
  <si>
    <t>Topical gel, 1000 IU</t>
  </si>
  <si>
    <t>30gm Tube</t>
  </si>
  <si>
    <t>SL025</t>
  </si>
  <si>
    <t>Timolol</t>
  </si>
  <si>
    <t>Solution, eye drops, 0.25%</t>
  </si>
  <si>
    <t>5ml Bottle</t>
  </si>
  <si>
    <t>SL060</t>
  </si>
  <si>
    <t>Wax Removal Solution</t>
  </si>
  <si>
    <t>Ear dops, Chlorobutamol 5%,Paradichlorobenzen e 2% ,arachis oil 57.3% (or equivalent)</t>
  </si>
  <si>
    <t>10ml bottle</t>
  </si>
  <si>
    <t>SL075</t>
  </si>
  <si>
    <t>Azelastine</t>
  </si>
  <si>
    <t>Solution, Eye drops 0.05%</t>
  </si>
  <si>
    <t>5ml- 10ml Bottle</t>
  </si>
  <si>
    <t>SM001A</t>
  </si>
  <si>
    <t>Ambroxol</t>
  </si>
  <si>
    <t>Syrup, 15ml/5ml (as hydrochloride)</t>
  </si>
  <si>
    <t>SM014</t>
  </si>
  <si>
    <t>Chlorphenira mine</t>
  </si>
  <si>
    <t>1 ml Ampoule</t>
  </si>
  <si>
    <t>SM022A</t>
  </si>
  <si>
    <t>Ipratropium + Salbutamol (COMBIVENT)</t>
  </si>
  <si>
    <t>Solution for nebulization, ipratromium bromide 250 micrograms + salbutamol 1.25mg/ml</t>
  </si>
  <si>
    <t>SM027</t>
  </si>
  <si>
    <t>Salbutamol</t>
  </si>
  <si>
    <t xml:space="preserve">Pressurized metered dose inhaler, 100micrograms/metered dose </t>
  </si>
  <si>
    <t>Can</t>
  </si>
  <si>
    <t>SM031</t>
  </si>
  <si>
    <t>Solution for nebulization, 5mg (as sulfate)/ml</t>
  </si>
  <si>
    <t>10ml Bottle</t>
  </si>
  <si>
    <t>SM044</t>
  </si>
  <si>
    <t>Loratidine</t>
  </si>
  <si>
    <t>SM046</t>
  </si>
  <si>
    <t>Cetrizine</t>
  </si>
  <si>
    <t>Oral Solution, 5mg/ml</t>
  </si>
  <si>
    <t>60ml Bottle</t>
  </si>
  <si>
    <t>10/2026, 7/2027</t>
  </si>
  <si>
    <t>SM050A</t>
  </si>
  <si>
    <t>Inhalation Spacer</t>
  </si>
  <si>
    <t>(2 years and above)</t>
  </si>
  <si>
    <t>SM050B</t>
  </si>
  <si>
    <t>Inhalation Spacer With baby mask</t>
  </si>
  <si>
    <t>(6 months - 2 years)</t>
  </si>
  <si>
    <t>pieces</t>
  </si>
  <si>
    <t>7/2029</t>
  </si>
  <si>
    <t>SM051</t>
  </si>
  <si>
    <t>Caffeine 5mg/ml</t>
  </si>
  <si>
    <t>SM060A</t>
  </si>
  <si>
    <t>Desloratadine</t>
  </si>
  <si>
    <t>SM066</t>
  </si>
  <si>
    <t>Montelukast</t>
  </si>
  <si>
    <t>Tablet,10mg</t>
  </si>
  <si>
    <t>8/2027, 9/2027</t>
  </si>
  <si>
    <t>SM107A</t>
  </si>
  <si>
    <t>Surfactant</t>
  </si>
  <si>
    <t>Poractant alpha (porcine lung phospholipid fraction)</t>
  </si>
  <si>
    <t>1.5mL vial</t>
  </si>
  <si>
    <t>SN001</t>
  </si>
  <si>
    <t>Calcium</t>
  </si>
  <si>
    <t>Suitable paediatric formulation syrup or equivalent</t>
  </si>
  <si>
    <t>150-200ml Bottle</t>
  </si>
  <si>
    <t>SN002</t>
  </si>
  <si>
    <t>Ferrous with folic acid</t>
  </si>
  <si>
    <t>Syrup, Equivalent to elemental iron 50 - 100mg/10ml and not more than 1mg/10ml Folic(RANFERON)</t>
  </si>
  <si>
    <t>200ml Bottle</t>
  </si>
  <si>
    <t>SN006</t>
  </si>
  <si>
    <t>Iron</t>
  </si>
  <si>
    <t>Injection, Solution for infusion, 20mg/ml (as Iron Sucrose)</t>
  </si>
  <si>
    <t>12/27</t>
  </si>
  <si>
    <t>SN007</t>
  </si>
  <si>
    <t>Ferrous + Folic salts with Zinc and Vit B complex</t>
  </si>
  <si>
    <t>Equivalent to elemental iron 50 - 100mg tab/cap and not more than 0.5mg-1.5mg/Tablet Folic ,ascorbic Acid, pyridoxine, cyanocobalamine or equivalent.</t>
  </si>
  <si>
    <t>Tablet/C apsule, Blister pack</t>
  </si>
  <si>
    <t>SN010</t>
  </si>
  <si>
    <t>Vitamin B1 + B6 + B12</t>
  </si>
  <si>
    <t>Tablet, (High Potency) B1 200mg, B6 50mg, B12 1000micrograms</t>
  </si>
  <si>
    <t>SN022</t>
  </si>
  <si>
    <t>Vitamin B + Vitamin C (PABRINEX)</t>
  </si>
  <si>
    <t>Injection, ascorbic acid 500 mg + nicotinamide 160 mg + pyridoxime hydrochoride 50 mg + riboflavin 4 mg + thiamine hydrochoride 250 mg/ml</t>
  </si>
  <si>
    <t>Ampoule/pairs</t>
  </si>
  <si>
    <t>Zinc sulphate</t>
  </si>
  <si>
    <t>20mg</t>
  </si>
  <si>
    <t>2/2026</t>
  </si>
  <si>
    <t>SN027</t>
  </si>
  <si>
    <t>Tablet, 500mg (as carbonate)</t>
  </si>
  <si>
    <t>SN049</t>
  </si>
  <si>
    <t>Glucosamine + Chondroitin</t>
  </si>
  <si>
    <t>Tablet, Glucosamine 500mg + Chondroitin Sulfate 200mg or equivalent</t>
  </si>
  <si>
    <t xml:space="preserve"> </t>
  </si>
  <si>
    <t>SR001</t>
  </si>
  <si>
    <t>Activated glutaraldehyde</t>
  </si>
  <si>
    <t>Solution, 2% (concentrate) with separate activator(cidex)</t>
  </si>
  <si>
    <t>5L Tin</t>
  </si>
  <si>
    <t>SR007</t>
  </si>
  <si>
    <t>Methylated Spirit</t>
  </si>
  <si>
    <t>Solution, 70%V/V</t>
  </si>
  <si>
    <t>8/2030</t>
  </si>
  <si>
    <t>SR008</t>
  </si>
  <si>
    <t>Povidone Iodine</t>
  </si>
  <si>
    <t>Solution, 1%, mouth wash</t>
  </si>
  <si>
    <t>100- 125ml Bottle</t>
  </si>
  <si>
    <t>SR009</t>
  </si>
  <si>
    <t>Solution, 10%</t>
  </si>
  <si>
    <t>500ml Bottle</t>
  </si>
  <si>
    <t>SR019</t>
  </si>
  <si>
    <t>Chlorhexidin e digluconate</t>
  </si>
  <si>
    <t>Solution or gel, 7.1% (digluconate) delivering 4% chlorhexidine (for umbili cal cord care)</t>
  </si>
  <si>
    <t>SS005</t>
  </si>
  <si>
    <t>Calcium gluconate</t>
  </si>
  <si>
    <t>Injection, solution for injection, 100mg calcium gluconate/ml -10%</t>
  </si>
  <si>
    <t>SS010</t>
  </si>
  <si>
    <t>Glucose</t>
  </si>
  <si>
    <t>Injection, solution for Infusion, 5%</t>
  </si>
  <si>
    <t>500 ml Bottle</t>
  </si>
  <si>
    <t>SS011</t>
  </si>
  <si>
    <t>Injection, solution for Infusion, 10%</t>
  </si>
  <si>
    <t>500ml Bottle /Collapsi ble Bag</t>
  </si>
  <si>
    <t>Feb, 2028</t>
  </si>
  <si>
    <t>SS012</t>
  </si>
  <si>
    <t>Injection, solution for injection, 50%</t>
  </si>
  <si>
    <t>21/10/2026</t>
  </si>
  <si>
    <t>SS018</t>
  </si>
  <si>
    <t>Sodium lactate, compound solution (RINGER LACTATE)</t>
  </si>
  <si>
    <t>Injection, solution for infusion, sodium chloride 0.6%, sodium lactate 0.32%, potassium chloride 0.04%, calcium chloride 0.027%</t>
  </si>
  <si>
    <t>500ml Collapsibl e Bag/Bottl e</t>
  </si>
  <si>
    <t>20/5/2028</t>
  </si>
  <si>
    <t>SS025</t>
  </si>
  <si>
    <t>Sodium chloride</t>
  </si>
  <si>
    <t>Injection, solution for infusion, 0.9%</t>
  </si>
  <si>
    <t>24/8/2028</t>
  </si>
  <si>
    <t>250ml Collapsible Bag</t>
  </si>
  <si>
    <t>2l Collapsible Bag</t>
  </si>
  <si>
    <t>SS033A</t>
  </si>
  <si>
    <t>Slow Potassium</t>
  </si>
  <si>
    <t>Tablet, 600mg ,Slow release</t>
  </si>
  <si>
    <t>SS040</t>
  </si>
  <si>
    <t>Injection, solution for infusion, 30%</t>
  </si>
  <si>
    <t>10 ml ampoule</t>
  </si>
  <si>
    <t>10/2026</t>
  </si>
  <si>
    <t>ST027</t>
  </si>
  <si>
    <t>Silver Nitrate</t>
  </si>
  <si>
    <t>Silver ions 0.01% W/V</t>
  </si>
  <si>
    <t>SU001</t>
  </si>
  <si>
    <t>Anti-D Immunoglob ulin(human)</t>
  </si>
  <si>
    <t>Injection, solution for injection, 300 micrograms (1500 IU)</t>
  </si>
  <si>
    <t>Vial / prefilled syringe</t>
  </si>
  <si>
    <t>SU002</t>
  </si>
  <si>
    <t>Rabies vaccine</t>
  </si>
  <si>
    <t>Injection, powder and solvent for suspension for injection, ≥ 2.5 IU/ml, inactivated</t>
  </si>
  <si>
    <t>Single dose Vial/Ampoule</t>
  </si>
  <si>
    <t>SU003</t>
  </si>
  <si>
    <t>Antisnake Venom</t>
  </si>
  <si>
    <t>Injection, suitable to cover venoms from local snakes</t>
  </si>
  <si>
    <t>10ml Vial /Ampoule</t>
  </si>
  <si>
    <t>SV004A</t>
  </si>
  <si>
    <t>Carbetocin</t>
  </si>
  <si>
    <t>100micrograms/ml Injection,</t>
  </si>
  <si>
    <t>1ml Vial</t>
  </si>
  <si>
    <t>SV005</t>
  </si>
  <si>
    <t>Misoprostol</t>
  </si>
  <si>
    <t>Tablet, 200micrograms</t>
  </si>
  <si>
    <t>Aminoacid 8%</t>
  </si>
  <si>
    <t>Bottle</t>
  </si>
  <si>
    <t>3/6/2028</t>
  </si>
  <si>
    <t>NUT009</t>
  </si>
  <si>
    <t>Glucerna 400gm</t>
  </si>
  <si>
    <t>400G Tin</t>
  </si>
  <si>
    <t>Tins</t>
  </si>
  <si>
    <t>20/4/2026, 10/2026</t>
  </si>
  <si>
    <t>NUT008</t>
  </si>
  <si>
    <t>Pediasure 400g</t>
  </si>
  <si>
    <t>NUT007</t>
  </si>
  <si>
    <t>Starter Infant Formula</t>
  </si>
  <si>
    <t>3/10/2026</t>
  </si>
  <si>
    <t>Nutricomp Standard 1 litre</t>
  </si>
  <si>
    <t>bags</t>
  </si>
  <si>
    <t>17/5/2026</t>
  </si>
  <si>
    <t>Proliche</t>
  </si>
  <si>
    <t>tins</t>
  </si>
  <si>
    <t>B Protin</t>
  </si>
  <si>
    <t xml:space="preserve">Fresubin HP Energy </t>
  </si>
  <si>
    <t>500ml bags</t>
  </si>
  <si>
    <t>Feeding bags</t>
  </si>
  <si>
    <t>pcs</t>
  </si>
  <si>
    <t>1/2029</t>
  </si>
  <si>
    <t>NUT0017</t>
  </si>
  <si>
    <t>Giving set</t>
  </si>
  <si>
    <t>Pcs</t>
  </si>
  <si>
    <t>1/2030</t>
  </si>
  <si>
    <t>Medical Envelopes</t>
  </si>
  <si>
    <t>N/A</t>
  </si>
  <si>
    <t>Zip lock Dispensing envelopes (Large)</t>
  </si>
  <si>
    <t>Closed System device P28</t>
  </si>
  <si>
    <t>Closed System Transfer Connector</t>
  </si>
  <si>
    <t>Certified that the above is a true status of Physical Stocks and stock balances on record. Not valid for adjustment unless the accounting Officer has approved.</t>
  </si>
  <si>
    <t>Stock Holder</t>
  </si>
  <si>
    <t>Team Leader</t>
  </si>
  <si>
    <t>Co-ordinator</t>
  </si>
  <si>
    <t>I/C Store</t>
  </si>
  <si>
    <t>SSO W/H</t>
  </si>
  <si>
    <t>I/C STOCK CONTROL</t>
  </si>
  <si>
    <t>Recommended for Adjustments</t>
  </si>
  <si>
    <t>Approved for Stock Adjustment</t>
  </si>
  <si>
    <t>Name</t>
  </si>
  <si>
    <t>Signature</t>
  </si>
  <si>
    <t>S/No</t>
  </si>
  <si>
    <t>Designation</t>
  </si>
  <si>
    <t>Email</t>
  </si>
  <si>
    <t>P/No</t>
  </si>
  <si>
    <t>Mobile No</t>
  </si>
  <si>
    <t>Dr. Millicent Gakii</t>
  </si>
  <si>
    <t>Senior Pharmacist</t>
  </si>
  <si>
    <t>mgakii@knh.or.ke</t>
  </si>
  <si>
    <t>0728738034</t>
  </si>
  <si>
    <t>Dr. Daniel Yonah</t>
  </si>
  <si>
    <t>danielyonah10@gmail.com</t>
  </si>
  <si>
    <t>0712197468</t>
  </si>
  <si>
    <t>Moffat Abuga</t>
  </si>
  <si>
    <t>Pharm Tech</t>
  </si>
  <si>
    <t>moffatabuga948@gmail.com</t>
  </si>
  <si>
    <t>0707766429</t>
  </si>
  <si>
    <t>Doreen Kinoti</t>
  </si>
  <si>
    <t>doreenmwendwa84@gmail.com</t>
  </si>
  <si>
    <t>0791939306</t>
  </si>
  <si>
    <t>Daisy Kagendo</t>
  </si>
  <si>
    <t>Nutritionist</t>
  </si>
  <si>
    <t>dkagendo@knh.or.ke</t>
  </si>
  <si>
    <t>0720062140</t>
  </si>
  <si>
    <t>Dennis Musyoka</t>
  </si>
  <si>
    <t>SCMO</t>
  </si>
  <si>
    <t>dennismusyoka12@gmail.com</t>
  </si>
  <si>
    <t>0703593873</t>
  </si>
  <si>
    <t>0.4ml prefilled syringe</t>
  </si>
  <si>
    <t>9/28</t>
  </si>
  <si>
    <t>8/27</t>
  </si>
  <si>
    <t>Dexamethasone</t>
  </si>
  <si>
    <t>Chlorhexidine digluconate</t>
  </si>
  <si>
    <t>Aminoacid 7%</t>
  </si>
  <si>
    <t xml:space="preserve">Bottle </t>
  </si>
  <si>
    <t xml:space="preserve">TOTAL AMOUNT </t>
  </si>
  <si>
    <t>B.</t>
  </si>
  <si>
    <t xml:space="preserve">NUTRITION SUPPLEMENTS </t>
  </si>
  <si>
    <t>CYCLE COUNT DRUG STORE REPORT, MAY 2026</t>
  </si>
  <si>
    <t>SA001</t>
  </si>
  <si>
    <t>Atracurium</t>
  </si>
  <si>
    <t>Injection, 10mg/ml (as besilate)</t>
  </si>
  <si>
    <t xml:space="preserve">5ml ampoules </t>
  </si>
  <si>
    <t>4/26, 6/26</t>
  </si>
  <si>
    <t>SA028</t>
  </si>
  <si>
    <t>Isoflurane</t>
  </si>
  <si>
    <t>10/2028</t>
  </si>
  <si>
    <t>SB045</t>
  </si>
  <si>
    <t>Chlorzoxazone + Paracetamol</t>
  </si>
  <si>
    <t>Capsule, chlorzoxazone 250mg + paracetamol 300mg</t>
  </si>
  <si>
    <t>Capsules/blister</t>
  </si>
  <si>
    <t>10/28</t>
  </si>
  <si>
    <t>SB085</t>
  </si>
  <si>
    <t>Solution for Injection, 50mg/2ml</t>
  </si>
  <si>
    <t>SD022</t>
  </si>
  <si>
    <t>Capsule / Tablet, 20mg</t>
  </si>
  <si>
    <t>tablets /capsule</t>
  </si>
  <si>
    <t>Noradrenaline</t>
  </si>
  <si>
    <t>Spironolactone</t>
  </si>
  <si>
    <t>9/27</t>
  </si>
  <si>
    <t>SE095</t>
  </si>
  <si>
    <t>Losartan + hydrochlorthiazide</t>
  </si>
  <si>
    <t>Tablet, losartan 50mg + hydrochlorothiazide 12.5mg</t>
  </si>
  <si>
    <t>SE129</t>
  </si>
  <si>
    <t>Acetylsalicylic acid</t>
  </si>
  <si>
    <t>Tablet, 75mg, enteric coated</t>
  </si>
  <si>
    <t>SE134A</t>
  </si>
  <si>
    <t>Torasemide</t>
  </si>
  <si>
    <t>Tablet, 10mg, scored</t>
  </si>
  <si>
    <t>Tablets,blister</t>
  </si>
  <si>
    <t>5/27</t>
  </si>
  <si>
    <t>11/2027</t>
  </si>
  <si>
    <t>SF039</t>
  </si>
  <si>
    <t>Clindamycin</t>
  </si>
  <si>
    <t>Capsule, 150mg</t>
  </si>
  <si>
    <t xml:space="preserve">Capsule/blister </t>
  </si>
  <si>
    <t>4/28</t>
  </si>
  <si>
    <t>SF054B</t>
  </si>
  <si>
    <t>Flucloxacillin</t>
  </si>
  <si>
    <t>Injection, Powder for reconstitution, 500mg</t>
  </si>
  <si>
    <t>SF092</t>
  </si>
  <si>
    <t>Clarithromycin</t>
  </si>
  <si>
    <t xml:space="preserve">Tablets/blister </t>
  </si>
  <si>
    <t>3/28</t>
  </si>
  <si>
    <t>SF095</t>
  </si>
  <si>
    <t>Levofloxacin</t>
  </si>
  <si>
    <t>Tablets/blister</t>
  </si>
  <si>
    <t>SL059</t>
  </si>
  <si>
    <t>solution, eye drops, 1%</t>
  </si>
  <si>
    <t>REVIST</t>
  </si>
  <si>
    <t>10/26</t>
  </si>
  <si>
    <t>SM070</t>
  </si>
  <si>
    <t>Montelukast granules</t>
  </si>
  <si>
    <t>Granules (as sodium salt), 4mg</t>
  </si>
  <si>
    <t xml:space="preserve">Satchets </t>
  </si>
  <si>
    <t>7/28</t>
  </si>
  <si>
    <t>SS029</t>
  </si>
  <si>
    <t>Water for Injection</t>
  </si>
  <si>
    <t>Sterile water for injection</t>
  </si>
  <si>
    <t>SV003A</t>
  </si>
  <si>
    <t>Oxytocin</t>
  </si>
  <si>
    <t>Injection, 10IU</t>
  </si>
  <si>
    <t>1 ampoule</t>
  </si>
  <si>
    <t>Injection, 10mg/ml (as besilate</t>
  </si>
  <si>
    <t>6/27</t>
  </si>
  <si>
    <t>8/28</t>
  </si>
  <si>
    <t>2/28</t>
  </si>
  <si>
    <t>SA013</t>
  </si>
  <si>
    <t>Injection, 20mg/ml (2%) (as hydrochloride )</t>
  </si>
  <si>
    <t xml:space="preserve">20-50ml Amber vial </t>
  </si>
  <si>
    <t>10/29</t>
  </si>
  <si>
    <t>11/27</t>
  </si>
  <si>
    <t>3ml amps</t>
  </si>
  <si>
    <t>1/27</t>
  </si>
  <si>
    <t>6/28</t>
  </si>
  <si>
    <t>8/29</t>
  </si>
  <si>
    <t>Injection, 30mg/ml (as hydrochloride )</t>
  </si>
  <si>
    <t>5/28</t>
  </si>
  <si>
    <t>SA038</t>
  </si>
  <si>
    <t>Dexmedetomidine</t>
  </si>
  <si>
    <t>Solution for IV Infusion,
100micrograms/mL (as hydrochloride)</t>
  </si>
  <si>
    <t>2ml vial</t>
  </si>
  <si>
    <t>10/27</t>
  </si>
  <si>
    <t>SB008</t>
  </si>
  <si>
    <t>Topical gel, 1% ( as sodium)</t>
  </si>
  <si>
    <t>20g tube</t>
  </si>
  <si>
    <t>2/29</t>
  </si>
  <si>
    <t>11/26</t>
  </si>
  <si>
    <t>1/28</t>
  </si>
  <si>
    <t>SB45</t>
  </si>
  <si>
    <t>Chlorzoxazone +Paracetamol</t>
  </si>
  <si>
    <t>Capsule blister pack</t>
  </si>
  <si>
    <t>2/27</t>
  </si>
  <si>
    <t>SB119</t>
  </si>
  <si>
    <t xml:space="preserve">Mefenamic acid 250mg </t>
  </si>
  <si>
    <t xml:space="preserve">Capsules 250mg </t>
  </si>
  <si>
    <t>Capsules</t>
  </si>
  <si>
    <t>SB212</t>
  </si>
  <si>
    <t>Capsules, modified Release 100mg</t>
  </si>
  <si>
    <t>SC003</t>
  </si>
  <si>
    <t>Amitryptyline</t>
  </si>
  <si>
    <t>Tablet, 25mg (as hydrochloride)</t>
  </si>
  <si>
    <t>9/29</t>
  </si>
  <si>
    <t>SC018</t>
  </si>
  <si>
    <t>Haloperidol</t>
  </si>
  <si>
    <t xml:space="preserve">Tablet 5mg </t>
  </si>
  <si>
    <t>1/29</t>
  </si>
  <si>
    <t>4/29</t>
  </si>
  <si>
    <t>SC042</t>
  </si>
  <si>
    <t>Phenytoin</t>
  </si>
  <si>
    <t>Injection, 50mg/ml (as sodium)</t>
  </si>
  <si>
    <t>7/27</t>
  </si>
  <si>
    <t>SC046C</t>
  </si>
  <si>
    <t>Tablet, 500mg, slow release</t>
  </si>
  <si>
    <t>SC054</t>
  </si>
  <si>
    <t>Benzhexol (Trihexyphenidyl)</t>
  </si>
  <si>
    <t>Tablet, 5mg (as hydrochloride)</t>
  </si>
  <si>
    <t>12/28</t>
  </si>
  <si>
    <t>SC103</t>
  </si>
  <si>
    <t>Metoclopropamide</t>
  </si>
  <si>
    <t>Tablet, 10mg (as hydrochloride)</t>
  </si>
  <si>
    <t>3/27</t>
  </si>
  <si>
    <t>SC008</t>
  </si>
  <si>
    <t>Chlorpromazine</t>
  </si>
  <si>
    <t xml:space="preserve">Injection, solution for injection, 25mg/ml (as hydrochloride )
</t>
  </si>
  <si>
    <t>SC033</t>
  </si>
  <si>
    <t>Carbamazepine</t>
  </si>
  <si>
    <t>Tablet, 200mg, scored</t>
  </si>
  <si>
    <t>SC033B</t>
  </si>
  <si>
    <t>Suspension, 100mg/5ml</t>
  </si>
  <si>
    <t>SC094A</t>
  </si>
  <si>
    <t>Tablet, 100mg, Scored</t>
  </si>
  <si>
    <t>SD003</t>
  </si>
  <si>
    <t>Antacid</t>
  </si>
  <si>
    <t>Oral suspension, Magnesium hydroxide / trisilicate + Aluminium hydroxide with Simethicone</t>
  </si>
  <si>
    <t>150ml-300ml Bottle</t>
  </si>
  <si>
    <t>SD018</t>
  </si>
  <si>
    <t>Hypertonic sodium phosphate enema (or equivalent)</t>
  </si>
  <si>
    <t>Rectal solution</t>
  </si>
  <si>
    <t>SD019</t>
  </si>
  <si>
    <t>Lactulose</t>
  </si>
  <si>
    <t xml:space="preserve">Oral liquid, 62-74g/100ml (Approx.3.335g/5ml
</t>
  </si>
  <si>
    <t xml:space="preserve">200ml Bottle
</t>
  </si>
  <si>
    <t>SD020</t>
  </si>
  <si>
    <t xml:space="preserve">Loperamide </t>
  </si>
  <si>
    <t>Capsule, 2mg (as hydrochloride)</t>
  </si>
  <si>
    <t>SD029</t>
  </si>
  <si>
    <t>Fosaprepitant</t>
  </si>
  <si>
    <t>Injection, 150mg</t>
  </si>
  <si>
    <t>Injection</t>
  </si>
  <si>
    <t>SD032A</t>
  </si>
  <si>
    <t>Tablet, 20mg</t>
  </si>
  <si>
    <t>SE 001</t>
  </si>
  <si>
    <t>Epinephrine (Adrenaline )</t>
  </si>
  <si>
    <t>Injection, solution for injection, 1mg/ml
(as hydrochloride or hydrotartrate)</t>
  </si>
  <si>
    <t>SE2113</t>
  </si>
  <si>
    <t>Rosuvastatin</t>
  </si>
  <si>
    <t>SE020</t>
  </si>
  <si>
    <t>Hydrallazine</t>
  </si>
  <si>
    <t>Tablet, 25mg ( as hydrochloride)</t>
  </si>
  <si>
    <t xml:space="preserve">Tablets </t>
  </si>
  <si>
    <t>3/29</t>
  </si>
  <si>
    <t>SE029</t>
  </si>
  <si>
    <t>Methyldopa</t>
  </si>
  <si>
    <t>Tablet, 250mg</t>
  </si>
  <si>
    <t>11/28</t>
  </si>
  <si>
    <t>SE032</t>
  </si>
  <si>
    <t>Nifedipine</t>
  </si>
  <si>
    <t>Tablet, 20mg, sustained release</t>
  </si>
  <si>
    <t>SE051</t>
  </si>
  <si>
    <t>Injection, solution for injection,  100mg/ml</t>
  </si>
  <si>
    <t>SE060A</t>
  </si>
  <si>
    <t>Carvedilol</t>
  </si>
  <si>
    <t>Tablet, 12.5mg, scored</t>
  </si>
  <si>
    <t>SE060B</t>
  </si>
  <si>
    <t>Tablet, 6.25mg, scored</t>
  </si>
  <si>
    <t>SE072</t>
  </si>
  <si>
    <t>Phytomenadione</t>
  </si>
  <si>
    <t>Injection, solution for injection, 10mg/ ml</t>
  </si>
  <si>
    <t>SE072A</t>
  </si>
  <si>
    <t>0.2Amps</t>
  </si>
  <si>
    <t>SE075A</t>
  </si>
  <si>
    <t>Amlodipine+ Losartan +Hydrochlorothiazide</t>
  </si>
  <si>
    <t>Tablet, amlodipine 5mg +Losartan 50mg + Hydrochlorothiazide 12.5mg</t>
  </si>
  <si>
    <t>SE091</t>
  </si>
  <si>
    <t>Clopidogrel</t>
  </si>
  <si>
    <t>Tablet, 75 mg (as hydrogen sulfate)</t>
  </si>
  <si>
    <t>Losartan +hydrochlorthiazide</t>
  </si>
  <si>
    <t>Tablet, losartan 50mg + hydrochlorothiazide 12.5m</t>
  </si>
  <si>
    <t>SE002</t>
  </si>
  <si>
    <t xml:space="preserve"> Amlodipine </t>
  </si>
  <si>
    <t>SE112A</t>
  </si>
  <si>
    <t>Bisoprolol</t>
  </si>
  <si>
    <t>SE132</t>
  </si>
  <si>
    <t>Tadalafil</t>
  </si>
  <si>
    <t>SE134B</t>
  </si>
  <si>
    <t>Tablet, Telmisartan 40mg +Hydrochlorthiazide 12.5mg</t>
  </si>
  <si>
    <t>SE134</t>
  </si>
  <si>
    <t xml:space="preserve">Torasemide </t>
  </si>
  <si>
    <t>Ranolazine</t>
  </si>
  <si>
    <t>Modified release tablets 500mg</t>
  </si>
  <si>
    <t>SF002</t>
  </si>
  <si>
    <t>Amikacin</t>
  </si>
  <si>
    <t>Injection, solution for injection, 500mg</t>
  </si>
  <si>
    <t>Ampoule s/vials</t>
  </si>
  <si>
    <t>Powder for oral suspension, Amoxicillin (trihydrate) 200mg + Clavulanic Acid (Potassium clavulanate), 28mg/5ml</t>
  </si>
  <si>
    <t>70ml btls</t>
  </si>
  <si>
    <t xml:space="preserve"> 7/27</t>
  </si>
  <si>
    <t>Capsules 150mg</t>
  </si>
  <si>
    <t xml:space="preserve">capsules </t>
  </si>
  <si>
    <t>SF042A</t>
  </si>
  <si>
    <t>Amoxicillin</t>
  </si>
  <si>
    <t>Capsule or Tablet, 500mg</t>
  </si>
  <si>
    <t>SF049</t>
  </si>
  <si>
    <t>Erythromycin</t>
  </si>
  <si>
    <t>Powder for oral suspension, 125mg/5ml (as stearate or ethyl succinate)</t>
  </si>
  <si>
    <t>Prefilled Syringe.</t>
  </si>
  <si>
    <t>SF 052</t>
  </si>
  <si>
    <t>Capsule, 250mg</t>
  </si>
  <si>
    <t>Capsule,Blister pack</t>
  </si>
  <si>
    <t>SF053</t>
  </si>
  <si>
    <t>Powder for oral suspension</t>
  </si>
  <si>
    <t>Injection, Powder for reconstitution,500mg</t>
  </si>
  <si>
    <t>.</t>
  </si>
  <si>
    <t>SF060</t>
  </si>
  <si>
    <t>Tablet 200mg</t>
  </si>
  <si>
    <t>SF091</t>
  </si>
  <si>
    <t>Ceftazidime</t>
  </si>
  <si>
    <t>Injection, powder for reconstitution, 1gm as (pentahydrate)</t>
  </si>
  <si>
    <t>SF92</t>
  </si>
  <si>
    <t>Tablets blister pack</t>
  </si>
  <si>
    <t>SG040</t>
  </si>
  <si>
    <t xml:space="preserve">Fluconazole </t>
  </si>
  <si>
    <t>Tablet/Capsule, 200mg</t>
  </si>
  <si>
    <t>tablets/capsules</t>
  </si>
  <si>
    <t>SG048</t>
  </si>
  <si>
    <t>Nystatin</t>
  </si>
  <si>
    <t>Oral Liquid, 100,000 I.U/ml</t>
  </si>
  <si>
    <t>30ml bttl</t>
  </si>
  <si>
    <t>8/26</t>
  </si>
  <si>
    <t>SG070</t>
  </si>
  <si>
    <t>Albendazole</t>
  </si>
  <si>
    <t>Tablet, 400mg, chewable</t>
  </si>
  <si>
    <t>SH010B</t>
  </si>
  <si>
    <t>Cyclophosphamide</t>
  </si>
  <si>
    <t>Injection, powder for reconstitution, 1g</t>
  </si>
  <si>
    <t>SH032A</t>
  </si>
  <si>
    <t>Goserelin</t>
  </si>
  <si>
    <t>Injection, solution for injection,10.8mg</t>
  </si>
  <si>
    <t>SH044</t>
  </si>
  <si>
    <t>Oxaliplatin</t>
  </si>
  <si>
    <t>SH044A</t>
  </si>
  <si>
    <t>Injection, solution for injection,</t>
  </si>
  <si>
    <t>SH108</t>
  </si>
  <si>
    <t>Tamsulosin+Finasteride</t>
  </si>
  <si>
    <t>Tablet, Tamsulosin 400 micrograms + Finasteride 5mg</t>
  </si>
  <si>
    <t>SH370</t>
  </si>
  <si>
    <t>Tamsulosin+ Dutasteride</t>
  </si>
  <si>
    <t>Capsule/ tablets,tamsulosin 0.4mgs +dutasteride 0.5mgs</t>
  </si>
  <si>
    <t>SJ017</t>
  </si>
  <si>
    <t>L-Thyroxine</t>
  </si>
  <si>
    <t>Tablet, 25 micrograms (as sodium)</t>
  </si>
  <si>
    <t>Tablet, 50mg</t>
  </si>
  <si>
    <t>7/26</t>
  </si>
  <si>
    <t>SK033A</t>
  </si>
  <si>
    <t>Mometasone</t>
  </si>
  <si>
    <t>Ointment, 0.1%</t>
  </si>
  <si>
    <t>15-30g</t>
  </si>
  <si>
    <t>SK048</t>
  </si>
  <si>
    <t>Clotrimazole with Betamethasone</t>
  </si>
  <si>
    <t>Cream, Clotrimazole 1% + Betamethasone valerate 0.1% or equivalent</t>
  </si>
  <si>
    <t>SL024</t>
  </si>
  <si>
    <t>Tetracycline</t>
  </si>
  <si>
    <t>Eye Ointment, 1%</t>
  </si>
  <si>
    <t>3.5gm Tube</t>
  </si>
  <si>
    <t>SM047A</t>
  </si>
  <si>
    <t>Budesonide+Formoterol-</t>
  </si>
  <si>
    <t>Pressurized metered dose inhaler, budesonide 400 micrograms + formoterol 6 micrograms /metered dose</t>
  </si>
  <si>
    <t>Cans</t>
  </si>
  <si>
    <t>SM047B</t>
  </si>
  <si>
    <t>Budesonide+Formoterol-Pressurized Metered DoseInhaler, Budeso</t>
  </si>
  <si>
    <t>Pressurized metered dose inhaler, budesonide 100 micrograms + formoterol 6 micrograms /metered dose</t>
  </si>
  <si>
    <t>7/29</t>
  </si>
  <si>
    <t xml:space="preserve">Montelukast grannules </t>
  </si>
  <si>
    <t>SM012A</t>
  </si>
  <si>
    <t>Chlorpheniramine</t>
  </si>
  <si>
    <t>Syrup, 2mg/5ml (as maleate)</t>
  </si>
  <si>
    <t>SN003</t>
  </si>
  <si>
    <t xml:space="preserve">Folic acid 5mg </t>
  </si>
  <si>
    <t>SN026</t>
  </si>
  <si>
    <t xml:space="preserve">Multi vitamin </t>
  </si>
  <si>
    <t>Paediatric drops or equivalent</t>
  </si>
  <si>
    <t xml:space="preserve">15-30ml bottle </t>
  </si>
  <si>
    <t>SR003</t>
  </si>
  <si>
    <t>Chlorhexidine Gluconate</t>
  </si>
  <si>
    <t>Solution, 0.2% mouthwash</t>
  </si>
  <si>
    <t>2/31</t>
  </si>
  <si>
    <t>SS001</t>
  </si>
  <si>
    <t>Albumin(Human)</t>
  </si>
  <si>
    <t>Injection, solution for infusion,</t>
  </si>
  <si>
    <t>SS009</t>
  </si>
  <si>
    <t>Hydroxyethyl starch</t>
  </si>
  <si>
    <t>Infusion, solution for infusion, 6% insodium chloride intravenous  infusion 0.9%</t>
  </si>
  <si>
    <t>SS023</t>
  </si>
  <si>
    <t xml:space="preserve">Pottassium Chloride </t>
  </si>
  <si>
    <t>Injection, solution for infusion, 11.2%</t>
  </si>
  <si>
    <t>ST004</t>
  </si>
  <si>
    <t xml:space="preserve">Hydroxyethylcellulose Lubricating Gel (or equivalent)
</t>
  </si>
  <si>
    <t>Gel</t>
  </si>
  <si>
    <t>42g</t>
  </si>
  <si>
    <t>SV003</t>
  </si>
  <si>
    <t>9/26</t>
  </si>
  <si>
    <t>Zip lock Dispensing envelopes (Small)</t>
  </si>
  <si>
    <t>2/30</t>
  </si>
  <si>
    <t>_</t>
  </si>
  <si>
    <t>Judy Wanjiru</t>
  </si>
  <si>
    <t xml:space="preserve">Nursing officer </t>
  </si>
  <si>
    <t>0726113233</t>
  </si>
  <si>
    <t>Peter Kinyanjui</t>
  </si>
  <si>
    <t>Support Staff</t>
  </si>
  <si>
    <t>peterkinya@gmail.com</t>
  </si>
  <si>
    <t>0702855430</t>
  </si>
  <si>
    <t>Esther Muthoni</t>
  </si>
  <si>
    <t>estherchemwile@mkrh.go.ke</t>
  </si>
  <si>
    <t>0704258909</t>
  </si>
  <si>
    <t xml:space="preserve">MWAI KIBAKI REFERRAL HOSPITAL  P. O. BOX  541-10106-OTHAYA                                                                                                                                                                                                     </t>
  </si>
  <si>
    <t>B</t>
  </si>
  <si>
    <t>Water for injection</t>
  </si>
  <si>
    <t xml:space="preserve">tablets </t>
  </si>
  <si>
    <t>Prescription pad (green coded)</t>
  </si>
  <si>
    <t>Prescription pad (yellow coded)</t>
  </si>
  <si>
    <t>Prescription pad (blue coded)</t>
  </si>
  <si>
    <t xml:space="preserve">1gm </t>
  </si>
  <si>
    <t>NUT0037</t>
  </si>
  <si>
    <t>Breast milk stimulator in powder or capsule form milk</t>
  </si>
  <si>
    <t>External gravitity Giving set</t>
  </si>
  <si>
    <t>Aminoacid 8% for liver patient</t>
  </si>
  <si>
    <t>Amino acid 7% for renal patient (Nephrolsteril )</t>
  </si>
  <si>
    <t>SS008</t>
  </si>
  <si>
    <t>SS0036</t>
  </si>
  <si>
    <t>SC013</t>
  </si>
  <si>
    <t>Fat emulsion solution 20% 500ml providing 200gm of fat containingLCTS(Intralipids 20%)</t>
  </si>
  <si>
    <t>Bags</t>
  </si>
  <si>
    <t>NUT0009</t>
  </si>
  <si>
    <t>Tin</t>
  </si>
  <si>
    <t>400-500g</t>
  </si>
  <si>
    <t>Nutrionationally complete oral feed with fiber in powder form for impaired glucose  tolerance providing 0.9 1kal /ml 3.5 4.5gm protein</t>
  </si>
  <si>
    <t>Nutrionationally complete oral feed with fiber in powder form .</t>
  </si>
  <si>
    <t>400-500</t>
  </si>
  <si>
    <t>NUT0042</t>
  </si>
  <si>
    <t>NUT0011</t>
  </si>
  <si>
    <t xml:space="preserve">High protein sip feed nutrionally complete </t>
  </si>
  <si>
    <t>200ml</t>
  </si>
  <si>
    <t>ml</t>
  </si>
  <si>
    <t>ANNUAL STOCKTAKE DRUG STORE REPORT, AS AT 30TH JUNE 2026</t>
  </si>
  <si>
    <t>TOTAL AMOUNT</t>
  </si>
  <si>
    <t xml:space="preserve">GRAND TOTAL AMOUNT </t>
  </si>
  <si>
    <t>NUT0016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</si>
</sst>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0.00_ "/>
    <numFmt numFmtId="166" formatCode="#,##0.00;[Red]#,##0.00"/>
  </numFmts>
  <fonts count="26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1"/>
      <color rgb="FFFF0000"/>
      <name val="Times New Roman"/>
      <charset val="134"/>
    </font>
    <font>
      <sz val="12"/>
      <color rgb="FF000000"/>
      <name val="Times New Roman"/>
      <charset val="134"/>
    </font>
    <font>
      <i/>
      <sz val="12"/>
      <name val="Times New Roman"/>
      <charset val="134"/>
    </font>
    <font>
      <i/>
      <sz val="12"/>
      <color theme="1"/>
      <name val="Times New Roman"/>
      <charset val="134"/>
    </font>
    <font>
      <u/>
      <sz val="12"/>
      <color theme="10"/>
      <name val="Times New Roman"/>
      <charset val="134"/>
    </font>
    <font>
      <u/>
      <sz val="12"/>
      <color rgb="FF800080"/>
      <name val="Times New Roman"/>
      <charset val="134"/>
    </font>
    <font>
      <u/>
      <sz val="11"/>
      <color theme="10"/>
      <name val="Calibri"/>
      <charset val="134"/>
      <scheme val="minor"/>
    </font>
    <font>
      <sz val="12"/>
      <color rgb="FFC00000"/>
      <name val="Times New Roman"/>
      <charset val="134"/>
    </font>
    <font>
      <b/>
      <sz val="12"/>
      <name val="Times New Roman"/>
      <charset val="134"/>
    </font>
    <font>
      <sz val="9"/>
      <color rgb="FFC00000"/>
      <name val="Times New Roman"/>
      <charset val="134"/>
    </font>
    <font>
      <sz val="9"/>
      <color rgb="FFFF0000"/>
      <name val="Times New Roman"/>
      <charset val="134"/>
    </font>
    <font>
      <b/>
      <sz val="12"/>
      <color theme="1"/>
      <name val="Times New Roman"/>
      <charset val="134"/>
    </font>
    <font>
      <b/>
      <i/>
      <sz val="12"/>
      <name val="Times New Roman"/>
      <charset val="134"/>
    </font>
    <font>
      <b/>
      <i/>
      <sz val="12"/>
      <color theme="1"/>
      <name val="Times New Roman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7">
    <xf numFmtId="0" fontId="0" fillId="0" borderId="0"/>
    <xf numFmtId="43" fontId="2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43" fontId="20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0" fillId="0" borderId="0"/>
    <xf numFmtId="0" fontId="21" fillId="0" borderId="0"/>
  </cellStyleXfs>
  <cellXfs count="268">
    <xf numFmtId="0" fontId="0" fillId="0" borderId="0" xfId="0"/>
    <xf numFmtId="0" fontId="1" fillId="0" borderId="0" xfId="0" applyFont="1"/>
    <xf numFmtId="0" fontId="2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/>
    <xf numFmtId="2" fontId="5" fillId="2" borderId="1" xfId="4" applyNumberFormat="1" applyFont="1" applyFill="1" applyBorder="1" applyAlignment="1">
      <alignment horizontal="center"/>
    </xf>
    <xf numFmtId="2" fontId="5" fillId="2" borderId="1" xfId="4" applyNumberFormat="1" applyFont="1" applyFill="1" applyBorder="1" applyAlignment="1">
      <alignment horizontal="center" wrapText="1"/>
    </xf>
    <xf numFmtId="43" fontId="4" fillId="2" borderId="1" xfId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43" fontId="5" fillId="0" borderId="1" xfId="1" applyFont="1" applyBorder="1" applyAlignment="1">
      <alignment horizontal="center"/>
    </xf>
    <xf numFmtId="0" fontId="5" fillId="0" borderId="1" xfId="0" applyFont="1" applyBorder="1" applyAlignment="1">
      <alignment wrapText="1"/>
    </xf>
    <xf numFmtId="49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0" fontId="6" fillId="0" borderId="0" xfId="0" applyFont="1"/>
    <xf numFmtId="0" fontId="5" fillId="0" borderId="1" xfId="6" applyFont="1" applyBorder="1" applyAlignment="1">
      <alignment wrapText="1"/>
    </xf>
    <xf numFmtId="2" fontId="3" fillId="2" borderId="1" xfId="4" applyNumberFormat="1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4" fontId="4" fillId="3" borderId="1" xfId="0" applyNumberFormat="1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3" fillId="0" borderId="1" xfId="5" applyFont="1" applyBorder="1" applyAlignment="1">
      <alignment horizontal="left"/>
    </xf>
    <xf numFmtId="43" fontId="4" fillId="0" borderId="1" xfId="1" applyFont="1" applyBorder="1" applyAlignment="1">
      <alignment wrapText="1"/>
    </xf>
    <xf numFmtId="49" fontId="4" fillId="0" borderId="1" xfId="0" applyNumberFormat="1" applyFont="1" applyBorder="1" applyAlignment="1">
      <alignment horizontal="right" wrapText="1"/>
    </xf>
    <xf numFmtId="166" fontId="3" fillId="0" borderId="1" xfId="5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right" vertical="center" wrapText="1"/>
    </xf>
    <xf numFmtId="166" fontId="3" fillId="0" borderId="1" xfId="5" applyNumberFormat="1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0" fontId="3" fillId="0" borderId="1" xfId="5" applyFont="1" applyBorder="1"/>
    <xf numFmtId="49" fontId="4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3" fillId="2" borderId="1" xfId="0" applyFont="1" applyFill="1" applyBorder="1"/>
    <xf numFmtId="0" fontId="3" fillId="0" borderId="1" xfId="0" applyFont="1" applyBorder="1"/>
    <xf numFmtId="43" fontId="3" fillId="2" borderId="1" xfId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14" fillId="0" borderId="1" xfId="5" applyFont="1" applyBorder="1" applyAlignment="1">
      <alignment horizontal="left" wrapText="1"/>
    </xf>
    <xf numFmtId="2" fontId="14" fillId="2" borderId="1" xfId="4" applyNumberFormat="1" applyFont="1" applyFill="1" applyBorder="1" applyAlignment="1">
      <alignment horizontal="left" wrapText="1"/>
    </xf>
    <xf numFmtId="0" fontId="14" fillId="2" borderId="1" xfId="5" applyFont="1" applyFill="1" applyBorder="1" applyAlignment="1">
      <alignment horizontal="center" wrapText="1"/>
    </xf>
    <xf numFmtId="0" fontId="14" fillId="2" borderId="1" xfId="5" applyFont="1" applyFill="1" applyBorder="1" applyAlignment="1">
      <alignment horizontal="left" wrapText="1"/>
    </xf>
    <xf numFmtId="0" fontId="14" fillId="0" borderId="1" xfId="0" applyFont="1" applyBorder="1" applyAlignment="1">
      <alignment horizontal="left" wrapText="1"/>
    </xf>
    <xf numFmtId="0" fontId="13" fillId="0" borderId="1" xfId="5" applyFont="1" applyBorder="1" applyAlignment="1">
      <alignment horizontal="left" wrapText="1"/>
    </xf>
    <xf numFmtId="2" fontId="13" fillId="2" borderId="1" xfId="4" applyNumberFormat="1" applyFont="1" applyFill="1" applyBorder="1" applyAlignment="1">
      <alignment horizontal="left" wrapText="1"/>
    </xf>
    <xf numFmtId="0" fontId="13" fillId="2" borderId="1" xfId="5" applyFont="1" applyFill="1" applyBorder="1" applyAlignment="1">
      <alignment horizontal="center" wrapText="1"/>
    </xf>
    <xf numFmtId="0" fontId="13" fillId="2" borderId="1" xfId="5" applyFont="1" applyFill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3" fillId="0" borderId="1" xfId="6" applyFont="1" applyBorder="1" applyAlignment="1">
      <alignment wrapText="1"/>
    </xf>
    <xf numFmtId="2" fontId="3" fillId="2" borderId="1" xfId="4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2" borderId="1" xfId="6" applyFont="1" applyFill="1" applyBorder="1" applyAlignment="1">
      <alignment wrapText="1"/>
    </xf>
    <xf numFmtId="0" fontId="3" fillId="0" borderId="1" xfId="6" applyFont="1" applyBorder="1" applyAlignment="1">
      <alignment horizontal="left" wrapText="1"/>
    </xf>
    <xf numFmtId="0" fontId="13" fillId="2" borderId="1" xfId="6" applyFont="1" applyFill="1" applyBorder="1" applyAlignment="1">
      <alignment wrapText="1"/>
    </xf>
    <xf numFmtId="0" fontId="13" fillId="2" borderId="1" xfId="6" applyFont="1" applyFill="1" applyBorder="1" applyAlignment="1">
      <alignment horizontal="left" wrapText="1"/>
    </xf>
    <xf numFmtId="2" fontId="13" fillId="2" borderId="1" xfId="4" applyNumberFormat="1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5" fillId="2" borderId="1" xfId="6" applyFont="1" applyFill="1" applyBorder="1" applyAlignment="1">
      <alignment wrapText="1"/>
    </xf>
    <xf numFmtId="0" fontId="5" fillId="2" borderId="1" xfId="6" applyFont="1" applyFill="1" applyBorder="1" applyAlignment="1">
      <alignment horizontal="left" wrapText="1"/>
    </xf>
    <xf numFmtId="0" fontId="13" fillId="0" borderId="1" xfId="6" applyFont="1" applyBorder="1" applyAlignment="1">
      <alignment wrapText="1"/>
    </xf>
    <xf numFmtId="0" fontId="15" fillId="0" borderId="4" xfId="0" applyFont="1" applyBorder="1" applyAlignment="1">
      <alignment horizontal="left"/>
    </xf>
    <xf numFmtId="0" fontId="5" fillId="0" borderId="1" xfId="6" applyFont="1" applyBorder="1" applyAlignment="1">
      <alignment horizontal="left" wrapText="1"/>
    </xf>
    <xf numFmtId="0" fontId="3" fillId="2" borderId="1" xfId="6" applyFont="1" applyFill="1" applyBorder="1" applyAlignment="1">
      <alignment horizontal="left" wrapText="1"/>
    </xf>
    <xf numFmtId="0" fontId="3" fillId="0" borderId="1" xfId="6" applyFont="1" applyBorder="1" applyAlignment="1">
      <alignment horizontal="justify" wrapText="1"/>
    </xf>
    <xf numFmtId="0" fontId="3" fillId="0" borderId="1" xfId="6" applyFont="1" applyBorder="1"/>
    <xf numFmtId="43" fontId="14" fillId="0" borderId="1" xfId="1" applyFont="1" applyBorder="1" applyAlignment="1">
      <alignment horizontal="left" wrapText="1"/>
    </xf>
    <xf numFmtId="43" fontId="14" fillId="2" borderId="1" xfId="1" applyFont="1" applyFill="1" applyBorder="1" applyAlignment="1">
      <alignment horizontal="left" wrapText="1"/>
    </xf>
    <xf numFmtId="49" fontId="14" fillId="2" borderId="1" xfId="1" applyNumberFormat="1" applyFont="1" applyFill="1" applyBorder="1" applyAlignment="1">
      <alignment horizontal="left" wrapText="1"/>
    </xf>
    <xf numFmtId="43" fontId="13" fillId="0" borderId="1" xfId="1" applyFont="1" applyBorder="1" applyAlignment="1">
      <alignment horizontal="left" wrapText="1"/>
    </xf>
    <xf numFmtId="43" fontId="13" fillId="2" borderId="1" xfId="1" applyFont="1" applyFill="1" applyBorder="1" applyAlignment="1">
      <alignment horizontal="left" wrapText="1"/>
    </xf>
    <xf numFmtId="49" fontId="13" fillId="2" borderId="1" xfId="1" applyNumberFormat="1" applyFont="1" applyFill="1" applyBorder="1" applyAlignment="1">
      <alignment horizontal="left" wrapText="1"/>
    </xf>
    <xf numFmtId="43" fontId="3" fillId="0" borderId="1" xfId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3" fontId="13" fillId="0" borderId="1" xfId="1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6" fillId="0" borderId="4" xfId="0" applyFont="1" applyBorder="1" applyAlignment="1">
      <alignment horizontal="left"/>
    </xf>
    <xf numFmtId="0" fontId="16" fillId="0" borderId="0" xfId="0" applyFont="1" applyAlignment="1">
      <alignment horizontal="left"/>
    </xf>
    <xf numFmtId="2" fontId="3" fillId="0" borderId="1" xfId="0" applyNumberFormat="1" applyFont="1" applyBorder="1"/>
    <xf numFmtId="0" fontId="3" fillId="2" borderId="1" xfId="6" applyFont="1" applyFill="1" applyBorder="1" applyAlignment="1">
      <alignment horizontal="justify" wrapText="1"/>
    </xf>
    <xf numFmtId="0" fontId="5" fillId="0" borderId="1" xfId="6" applyFont="1" applyBorder="1" applyAlignment="1">
      <alignment horizontal="justify" wrapText="1"/>
    </xf>
    <xf numFmtId="2" fontId="5" fillId="0" borderId="1" xfId="4" applyNumberFormat="1" applyFont="1" applyFill="1" applyBorder="1" applyAlignment="1">
      <alignment horizontal="center"/>
    </xf>
    <xf numFmtId="2" fontId="13" fillId="2" borderId="1" xfId="4" applyNumberFormat="1" applyFont="1" applyFill="1" applyBorder="1" applyAlignment="1">
      <alignment horizontal="center"/>
    </xf>
    <xf numFmtId="43" fontId="5" fillId="0" borderId="1" xfId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43" fontId="14" fillId="0" borderId="1" xfId="1" applyFont="1" applyBorder="1" applyAlignment="1">
      <alignment horizontal="center"/>
    </xf>
    <xf numFmtId="0" fontId="4" fillId="2" borderId="1" xfId="0" applyFont="1" applyFill="1" applyBorder="1"/>
    <xf numFmtId="0" fontId="13" fillId="2" borderId="1" xfId="0" applyFont="1" applyFill="1" applyBorder="1"/>
    <xf numFmtId="0" fontId="17" fillId="0" borderId="1" xfId="0" applyFont="1" applyBorder="1" applyAlignment="1">
      <alignment horizontal="left" wrapText="1"/>
    </xf>
    <xf numFmtId="0" fontId="7" fillId="0" borderId="1" xfId="6" applyFont="1" applyBorder="1" applyAlignment="1">
      <alignment wrapText="1"/>
    </xf>
    <xf numFmtId="0" fontId="7" fillId="0" borderId="1" xfId="6" applyFont="1" applyBorder="1" applyAlignment="1">
      <alignment horizontal="left" wrapText="1"/>
    </xf>
    <xf numFmtId="2" fontId="7" fillId="2" borderId="1" xfId="4" applyNumberFormat="1" applyFont="1" applyFill="1" applyBorder="1" applyAlignment="1">
      <alignment horizontal="center" wrapText="1"/>
    </xf>
    <xf numFmtId="0" fontId="7" fillId="2" borderId="1" xfId="6" applyFont="1" applyFill="1" applyBorder="1" applyAlignment="1">
      <alignment wrapText="1"/>
    </xf>
    <xf numFmtId="0" fontId="7" fillId="2" borderId="1" xfId="6" applyFont="1" applyFill="1" applyBorder="1" applyAlignment="1">
      <alignment horizontal="left" wrapText="1"/>
    </xf>
    <xf numFmtId="0" fontId="13" fillId="0" borderId="1" xfId="6" applyFont="1" applyBorder="1" applyAlignment="1">
      <alignment horizontal="left" wrapText="1"/>
    </xf>
    <xf numFmtId="0" fontId="13" fillId="0" borderId="1" xfId="6" applyFont="1" applyBorder="1" applyAlignment="1">
      <alignment horizontal="justify" wrapText="1"/>
    </xf>
    <xf numFmtId="0" fontId="13" fillId="0" borderId="1" xfId="6" applyFont="1" applyBorder="1"/>
    <xf numFmtId="43" fontId="17" fillId="0" borderId="1" xfId="1" applyFont="1" applyBorder="1" applyAlignment="1">
      <alignment horizontal="left" wrapText="1"/>
    </xf>
    <xf numFmtId="43" fontId="17" fillId="2" borderId="1" xfId="1" applyFont="1" applyFill="1" applyBorder="1" applyAlignment="1">
      <alignment horizontal="left" wrapText="1"/>
    </xf>
    <xf numFmtId="49" fontId="17" fillId="2" borderId="1" xfId="1" applyNumberFormat="1" applyFont="1" applyFill="1" applyBorder="1" applyAlignment="1">
      <alignment horizontal="left" wrapText="1"/>
    </xf>
    <xf numFmtId="2" fontId="4" fillId="0" borderId="1" xfId="0" applyNumberFormat="1" applyFont="1" applyBorder="1"/>
    <xf numFmtId="2" fontId="4" fillId="2" borderId="1" xfId="4" applyNumberFormat="1" applyFont="1" applyFill="1" applyBorder="1" applyAlignment="1">
      <alignment horizontal="center"/>
    </xf>
    <xf numFmtId="0" fontId="7" fillId="2" borderId="1" xfId="6" applyFont="1" applyFill="1" applyBorder="1" applyAlignment="1">
      <alignment horizontal="justify" wrapText="1"/>
    </xf>
    <xf numFmtId="0" fontId="7" fillId="0" borderId="1" xfId="6" applyFont="1" applyBorder="1" applyAlignment="1">
      <alignment horizontal="justify" wrapText="1"/>
    </xf>
    <xf numFmtId="0" fontId="14" fillId="0" borderId="1" xfId="6" applyFont="1" applyBorder="1" applyAlignment="1">
      <alignment horizontal="right" wrapText="1"/>
    </xf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3" fontId="17" fillId="0" borderId="1" xfId="1" applyFont="1" applyBorder="1" applyAlignment="1">
      <alignment horizontal="center"/>
    </xf>
    <xf numFmtId="0" fontId="4" fillId="0" borderId="0" xfId="0" applyFont="1" applyAlignment="1">
      <alignment wrapText="1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14" fillId="0" borderId="1" xfId="5" applyFont="1" applyBorder="1" applyAlignment="1">
      <alignment horizontal="center" wrapText="1"/>
    </xf>
    <xf numFmtId="0" fontId="7" fillId="0" borderId="1" xfId="6" applyFont="1" applyBorder="1" applyAlignment="1">
      <alignment vertical="center" wrapText="1"/>
    </xf>
    <xf numFmtId="2" fontId="7" fillId="2" borderId="1" xfId="4" applyNumberFormat="1" applyFont="1" applyFill="1" applyBorder="1" applyAlignment="1">
      <alignment horizontal="center" vertical="center" wrapText="1"/>
    </xf>
    <xf numFmtId="0" fontId="7" fillId="2" borderId="1" xfId="6" applyFont="1" applyFill="1" applyBorder="1" applyAlignment="1">
      <alignment vertical="center" wrapText="1"/>
    </xf>
    <xf numFmtId="0" fontId="7" fillId="0" borderId="1" xfId="6" applyFont="1" applyBorder="1" applyAlignment="1">
      <alignment horizontal="left" vertical="center" wrapText="1"/>
    </xf>
    <xf numFmtId="0" fontId="7" fillId="2" borderId="1" xfId="6" applyFont="1" applyFill="1" applyBorder="1" applyAlignment="1">
      <alignment horizontal="left" vertical="center" wrapText="1"/>
    </xf>
    <xf numFmtId="0" fontId="7" fillId="0" borderId="1" xfId="6" applyFont="1" applyBorder="1" applyAlignment="1">
      <alignment horizontal="justify" vertical="center" wrapText="1"/>
    </xf>
    <xf numFmtId="0" fontId="7" fillId="0" borderId="1" xfId="6" applyFont="1" applyBorder="1" applyAlignment="1">
      <alignment vertical="center"/>
    </xf>
    <xf numFmtId="0" fontId="3" fillId="0" borderId="1" xfId="6" applyFont="1" applyBorder="1" applyAlignment="1">
      <alignment vertical="center" wrapText="1"/>
    </xf>
    <xf numFmtId="0" fontId="3" fillId="0" borderId="1" xfId="6" applyFont="1" applyBorder="1" applyAlignment="1">
      <alignment horizontal="left" vertical="center" wrapText="1"/>
    </xf>
    <xf numFmtId="0" fontId="3" fillId="2" borderId="1" xfId="6" applyFont="1" applyFill="1" applyBorder="1" applyAlignment="1">
      <alignment vertical="center" wrapText="1"/>
    </xf>
    <xf numFmtId="0" fontId="3" fillId="2" borderId="1" xfId="6" applyFont="1" applyFill="1" applyBorder="1" applyAlignment="1">
      <alignment horizontal="left"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2" fontId="4" fillId="0" borderId="0" xfId="0" applyNumberFormat="1" applyFont="1"/>
    <xf numFmtId="0" fontId="7" fillId="2" borderId="1" xfId="6" applyFont="1" applyFill="1" applyBorder="1" applyAlignment="1">
      <alignment horizontal="justify" vertical="center" wrapText="1"/>
    </xf>
    <xf numFmtId="0" fontId="4" fillId="0" borderId="11" xfId="0" applyFont="1" applyBorder="1" applyAlignment="1">
      <alignment wrapText="1"/>
    </xf>
    <xf numFmtId="0" fontId="4" fillId="0" borderId="12" xfId="0" applyFont="1" applyBorder="1"/>
    <xf numFmtId="0" fontId="4" fillId="0" borderId="13" xfId="0" applyFont="1" applyBorder="1" applyAlignment="1">
      <alignment wrapText="1"/>
    </xf>
    <xf numFmtId="4" fontId="4" fillId="3" borderId="13" xfId="0" applyNumberFormat="1" applyFont="1" applyFill="1" applyBorder="1" applyAlignment="1">
      <alignment wrapText="1"/>
    </xf>
    <xf numFmtId="0" fontId="3" fillId="2" borderId="1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4" fillId="3" borderId="16" xfId="0" applyFont="1" applyFill="1" applyBorder="1" applyAlignment="1">
      <alignment wrapText="1"/>
    </xf>
    <xf numFmtId="0" fontId="4" fillId="2" borderId="16" xfId="0" applyFont="1" applyFill="1" applyBorder="1" applyAlignment="1">
      <alignment wrapText="1"/>
    </xf>
    <xf numFmtId="0" fontId="17" fillId="0" borderId="11" xfId="0" applyFont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wrapText="1"/>
    </xf>
    <xf numFmtId="0" fontId="4" fillId="0" borderId="18" xfId="0" applyFont="1" applyBorder="1" applyAlignment="1">
      <alignment wrapText="1"/>
    </xf>
    <xf numFmtId="0" fontId="4" fillId="3" borderId="11" xfId="0" applyFont="1" applyFill="1" applyBorder="1" applyAlignment="1">
      <alignment wrapText="1"/>
    </xf>
    <xf numFmtId="0" fontId="17" fillId="0" borderId="11" xfId="0" applyFont="1" applyBorder="1" applyAlignment="1">
      <alignment wrapText="1"/>
    </xf>
    <xf numFmtId="0" fontId="17" fillId="0" borderId="11" xfId="0" applyFont="1" applyBorder="1" applyAlignment="1">
      <alignment horizontal="center" wrapText="1"/>
    </xf>
    <xf numFmtId="0" fontId="17" fillId="2" borderId="11" xfId="0" applyFont="1" applyFill="1" applyBorder="1" applyAlignment="1">
      <alignment wrapText="1"/>
    </xf>
    <xf numFmtId="0" fontId="10" fillId="0" borderId="17" xfId="2" applyFont="1" applyBorder="1" applyAlignment="1">
      <alignment wrapText="1"/>
    </xf>
    <xf numFmtId="49" fontId="4" fillId="0" borderId="11" xfId="0" applyNumberFormat="1" applyFont="1" applyBorder="1" applyAlignment="1">
      <alignment wrapText="1"/>
    </xf>
    <xf numFmtId="0" fontId="10" fillId="2" borderId="9" xfId="2" applyFont="1" applyFill="1" applyBorder="1" applyAlignment="1">
      <alignment wrapText="1"/>
    </xf>
    <xf numFmtId="43" fontId="4" fillId="0" borderId="16" xfId="1" applyFont="1" applyBorder="1" applyAlignment="1">
      <alignment wrapText="1"/>
    </xf>
    <xf numFmtId="49" fontId="17" fillId="0" borderId="16" xfId="0" applyNumberFormat="1" applyFont="1" applyBorder="1" applyAlignment="1">
      <alignment horizontal="right" wrapText="1"/>
    </xf>
    <xf numFmtId="166" fontId="14" fillId="0" borderId="1" xfId="5" applyNumberFormat="1" applyFont="1" applyBorder="1" applyAlignment="1">
      <alignment horizontal="center" vertical="center" wrapText="1"/>
    </xf>
    <xf numFmtId="49" fontId="17" fillId="0" borderId="11" xfId="0" applyNumberFormat="1" applyFont="1" applyBorder="1" applyAlignment="1">
      <alignment horizontal="right" vertical="center" wrapText="1"/>
    </xf>
    <xf numFmtId="49" fontId="17" fillId="0" borderId="11" xfId="0" applyNumberFormat="1" applyFont="1" applyBorder="1" applyAlignment="1">
      <alignment horizontal="right" wrapText="1"/>
    </xf>
    <xf numFmtId="43" fontId="4" fillId="0" borderId="11" xfId="1" applyFont="1" applyBorder="1" applyAlignment="1">
      <alignment wrapText="1"/>
    </xf>
    <xf numFmtId="43" fontId="17" fillId="0" borderId="11" xfId="1" applyFont="1" applyBorder="1" applyAlignment="1">
      <alignment wrapText="1"/>
    </xf>
    <xf numFmtId="0" fontId="22" fillId="0" borderId="1" xfId="5" applyFont="1" applyBorder="1" applyAlignment="1">
      <alignment horizontal="center" wrapText="1"/>
    </xf>
    <xf numFmtId="2" fontId="22" fillId="2" borderId="1" xfId="4" applyNumberFormat="1" applyFont="1" applyFill="1" applyBorder="1" applyAlignment="1">
      <alignment horizontal="left" wrapText="1"/>
    </xf>
    <xf numFmtId="0" fontId="22" fillId="2" borderId="1" xfId="5" applyFont="1" applyFill="1" applyBorder="1" applyAlignment="1">
      <alignment horizontal="center" wrapText="1"/>
    </xf>
    <xf numFmtId="0" fontId="22" fillId="2" borderId="1" xfId="5" applyFont="1" applyFill="1" applyBorder="1" applyAlignment="1">
      <alignment horizontal="left" wrapText="1"/>
    </xf>
    <xf numFmtId="0" fontId="22" fillId="0" borderId="1" xfId="0" applyFont="1" applyBorder="1" applyAlignment="1">
      <alignment horizontal="center"/>
    </xf>
    <xf numFmtId="43" fontId="22" fillId="0" borderId="1" xfId="1" applyFont="1" applyBorder="1" applyAlignment="1">
      <alignment horizontal="center"/>
    </xf>
    <xf numFmtId="49" fontId="22" fillId="2" borderId="1" xfId="1" applyNumberFormat="1" applyFont="1" applyFill="1" applyBorder="1" applyAlignment="1">
      <alignment horizontal="left" wrapText="1"/>
    </xf>
    <xf numFmtId="0" fontId="22" fillId="0" borderId="1" xfId="0" applyFont="1" applyBorder="1" applyAlignment="1">
      <alignment wrapText="1"/>
    </xf>
    <xf numFmtId="0" fontId="22" fillId="0" borderId="1" xfId="6" applyFont="1" applyBorder="1" applyAlignment="1">
      <alignment vertical="center" wrapText="1"/>
    </xf>
    <xf numFmtId="0" fontId="22" fillId="2" borderId="1" xfId="0" applyFont="1" applyFill="1" applyBorder="1" applyAlignment="1">
      <alignment horizontal="center"/>
    </xf>
    <xf numFmtId="49" fontId="22" fillId="0" borderId="1" xfId="0" applyNumberFormat="1" applyFont="1" applyBorder="1" applyAlignment="1">
      <alignment horizontal="center"/>
    </xf>
    <xf numFmtId="0" fontId="22" fillId="0" borderId="1" xfId="0" applyFont="1" applyBorder="1"/>
    <xf numFmtId="0" fontId="22" fillId="0" borderId="1" xfId="6" applyFont="1" applyBorder="1" applyAlignment="1">
      <alignment horizontal="left" vertical="center" wrapText="1"/>
    </xf>
    <xf numFmtId="0" fontId="22" fillId="2" borderId="1" xfId="6" applyFont="1" applyFill="1" applyBorder="1" applyAlignment="1">
      <alignment vertical="center" wrapText="1"/>
    </xf>
    <xf numFmtId="0" fontId="22" fillId="2" borderId="1" xfId="6" applyFont="1" applyFill="1" applyBorder="1" applyAlignment="1">
      <alignment horizontal="left" vertical="center" wrapText="1"/>
    </xf>
    <xf numFmtId="2" fontId="22" fillId="2" borderId="1" xfId="4" applyNumberFormat="1" applyFont="1" applyFill="1" applyBorder="1" applyAlignment="1">
      <alignment horizontal="center"/>
    </xf>
    <xf numFmtId="0" fontId="22" fillId="0" borderId="1" xfId="0" applyFont="1" applyBorder="1" applyAlignment="1">
      <alignment vertical="center"/>
    </xf>
    <xf numFmtId="0" fontId="22" fillId="0" borderId="1" xfId="6" applyFont="1" applyBorder="1" applyAlignment="1">
      <alignment horizontal="justify" vertical="center" wrapText="1"/>
    </xf>
    <xf numFmtId="0" fontId="22" fillId="0" borderId="1" xfId="6" applyFont="1" applyBorder="1" applyAlignment="1">
      <alignment vertical="center"/>
    </xf>
    <xf numFmtId="2" fontId="22" fillId="2" borderId="1" xfId="4" applyNumberFormat="1" applyFont="1" applyFill="1" applyBorder="1" applyAlignment="1">
      <alignment horizontal="center" wrapText="1"/>
    </xf>
    <xf numFmtId="0" fontId="22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top" wrapText="1"/>
    </xf>
    <xf numFmtId="0" fontId="22" fillId="0" borderId="1" xfId="6" applyFont="1" applyBorder="1" applyAlignment="1">
      <alignment vertical="top" wrapText="1"/>
    </xf>
    <xf numFmtId="0" fontId="22" fillId="2" borderId="1" xfId="6" applyFont="1" applyFill="1" applyBorder="1" applyAlignment="1">
      <alignment vertical="top" wrapText="1"/>
    </xf>
    <xf numFmtId="0" fontId="22" fillId="0" borderId="1" xfId="6" applyFont="1" applyBorder="1" applyAlignment="1">
      <alignment wrapText="1"/>
    </xf>
    <xf numFmtId="0" fontId="22" fillId="2" borderId="1" xfId="0" applyFont="1" applyFill="1" applyBorder="1"/>
    <xf numFmtId="43" fontId="22" fillId="2" borderId="1" xfId="1" applyFont="1" applyFill="1" applyBorder="1" applyAlignment="1">
      <alignment horizontal="center"/>
    </xf>
    <xf numFmtId="49" fontId="22" fillId="2" borderId="1" xfId="0" applyNumberFormat="1" applyFont="1" applyFill="1" applyBorder="1" applyAlignment="1">
      <alignment horizontal="center"/>
    </xf>
    <xf numFmtId="4" fontId="22" fillId="3" borderId="1" xfId="0" applyNumberFormat="1" applyFont="1" applyFill="1" applyBorder="1" applyAlignment="1">
      <alignment wrapText="1"/>
    </xf>
    <xf numFmtId="0" fontId="22" fillId="3" borderId="1" xfId="0" applyFont="1" applyFill="1" applyBorder="1" applyAlignment="1">
      <alignment wrapText="1"/>
    </xf>
    <xf numFmtId="0" fontId="24" fillId="0" borderId="1" xfId="0" applyFont="1" applyBorder="1"/>
    <xf numFmtId="0" fontId="24" fillId="0" borderId="1" xfId="0" applyFont="1" applyBorder="1" applyAlignment="1">
      <alignment wrapText="1"/>
    </xf>
    <xf numFmtId="0" fontId="24" fillId="2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43" fontId="24" fillId="2" borderId="1" xfId="1" applyFont="1" applyFill="1" applyBorder="1" applyAlignment="1">
      <alignment horizontal="center"/>
    </xf>
    <xf numFmtId="49" fontId="24" fillId="2" borderId="1" xfId="0" applyNumberFormat="1" applyFont="1" applyFill="1" applyBorder="1" applyAlignment="1">
      <alignment horizontal="center"/>
    </xf>
    <xf numFmtId="0" fontId="23" fillId="0" borderId="1" xfId="5" applyFont="1" applyBorder="1" applyAlignment="1">
      <alignment horizontal="center" wrapText="1"/>
    </xf>
    <xf numFmtId="0" fontId="23" fillId="0" borderId="1" xfId="5" applyFont="1" applyBorder="1" applyAlignment="1">
      <alignment horizontal="left" wrapText="1"/>
    </xf>
    <xf numFmtId="2" fontId="23" fillId="2" borderId="1" xfId="4" applyNumberFormat="1" applyFont="1" applyFill="1" applyBorder="1" applyAlignment="1">
      <alignment horizontal="left" wrapText="1"/>
    </xf>
    <xf numFmtId="0" fontId="23" fillId="2" borderId="1" xfId="5" applyFont="1" applyFill="1" applyBorder="1" applyAlignment="1">
      <alignment horizontal="center" wrapText="1"/>
    </xf>
    <xf numFmtId="0" fontId="23" fillId="2" borderId="1" xfId="5" applyFont="1" applyFill="1" applyBorder="1" applyAlignment="1">
      <alignment horizontal="left" wrapText="1"/>
    </xf>
    <xf numFmtId="0" fontId="24" fillId="0" borderId="1" xfId="0" applyFont="1" applyBorder="1" applyAlignment="1">
      <alignment horizontal="left" wrapText="1"/>
    </xf>
    <xf numFmtId="43" fontId="24" fillId="0" borderId="1" xfId="1" applyFont="1" applyBorder="1" applyAlignment="1">
      <alignment horizontal="left" wrapText="1"/>
    </xf>
    <xf numFmtId="43" fontId="24" fillId="2" borderId="1" xfId="1" applyFont="1" applyFill="1" applyBorder="1" applyAlignment="1">
      <alignment horizontal="left" wrapText="1"/>
    </xf>
    <xf numFmtId="49" fontId="24" fillId="2" borderId="1" xfId="1" applyNumberFormat="1" applyFont="1" applyFill="1" applyBorder="1" applyAlignment="1">
      <alignment horizontal="left" wrapText="1"/>
    </xf>
    <xf numFmtId="165" fontId="22" fillId="0" borderId="1" xfId="0" applyNumberFormat="1" applyFont="1" applyBorder="1"/>
    <xf numFmtId="0" fontId="23" fillId="0" borderId="1" xfId="6" applyFont="1" applyBorder="1" applyAlignment="1">
      <alignment horizontal="right" vertical="center" wrapText="1"/>
    </xf>
    <xf numFmtId="0" fontId="25" fillId="0" borderId="1" xfId="0" applyFont="1" applyBorder="1" applyAlignment="1">
      <alignment wrapText="1"/>
    </xf>
    <xf numFmtId="2" fontId="22" fillId="0" borderId="1" xfId="4" applyNumberFormat="1" applyFont="1" applyFill="1" applyBorder="1" applyAlignment="1">
      <alignment horizontal="center"/>
    </xf>
    <xf numFmtId="43" fontId="22" fillId="0" borderId="1" xfId="1" applyFont="1" applyFill="1" applyBorder="1" applyAlignment="1">
      <alignment horizontal="center"/>
    </xf>
    <xf numFmtId="4" fontId="22" fillId="0" borderId="1" xfId="0" applyNumberFormat="1" applyFont="1" applyBorder="1" applyAlignment="1">
      <alignment wrapText="1"/>
    </xf>
    <xf numFmtId="43" fontId="23" fillId="0" borderId="1" xfId="1" applyFont="1" applyBorder="1" applyAlignment="1">
      <alignment horizontal="center"/>
    </xf>
    <xf numFmtId="0" fontId="14" fillId="2" borderId="6" xfId="0" applyFont="1" applyFill="1" applyBorder="1" applyAlignment="1">
      <alignment horizontal="center" wrapText="1"/>
    </xf>
    <xf numFmtId="0" fontId="14" fillId="2" borderId="7" xfId="0" applyFont="1" applyFill="1" applyBorder="1" applyAlignment="1">
      <alignment horizontal="center" wrapText="1"/>
    </xf>
    <xf numFmtId="0" fontId="14" fillId="2" borderId="10" xfId="0" applyFont="1" applyFill="1" applyBorder="1" applyAlignment="1">
      <alignment horizontal="center" wrapText="1"/>
    </xf>
    <xf numFmtId="0" fontId="18" fillId="0" borderId="1" xfId="3" applyNumberFormat="1" applyFont="1" applyBorder="1" applyAlignment="1">
      <alignment horizontal="center" wrapText="1"/>
    </xf>
    <xf numFmtId="0" fontId="19" fillId="0" borderId="14" xfId="0" applyFont="1" applyBorder="1" applyAlignment="1">
      <alignment horizontal="center" wrapText="1"/>
    </xf>
    <xf numFmtId="0" fontId="19" fillId="0" borderId="15" xfId="0" applyFont="1" applyBorder="1" applyAlignment="1">
      <alignment horizontal="center" wrapText="1"/>
    </xf>
    <xf numFmtId="0" fontId="19" fillId="0" borderId="19" xfId="0" applyFont="1" applyBorder="1" applyAlignment="1">
      <alignment horizontal="center" wrapText="1"/>
    </xf>
    <xf numFmtId="0" fontId="4" fillId="0" borderId="17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7" xfId="0" applyFont="1" applyBorder="1" applyAlignment="1">
      <alignment wrapText="1"/>
    </xf>
    <xf numFmtId="0" fontId="17" fillId="0" borderId="9" xfId="0" applyFont="1" applyBorder="1" applyAlignment="1">
      <alignment wrapText="1"/>
    </xf>
    <xf numFmtId="0" fontId="4" fillId="0" borderId="17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10" fillId="0" borderId="17" xfId="2" applyFont="1" applyBorder="1" applyAlignment="1">
      <alignment wrapText="1"/>
    </xf>
    <xf numFmtId="0" fontId="10" fillId="0" borderId="9" xfId="2" applyFont="1" applyBorder="1" applyAlignment="1">
      <alignment wrapText="1"/>
    </xf>
    <xf numFmtId="0" fontId="17" fillId="0" borderId="17" xfId="0" applyFont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2" xfId="6" applyFont="1" applyBorder="1" applyAlignment="1">
      <alignment horizontal="left" wrapText="1"/>
    </xf>
    <xf numFmtId="0" fontId="13" fillId="0" borderId="3" xfId="6" applyFont="1" applyBorder="1" applyAlignment="1">
      <alignment horizontal="left" wrapText="1"/>
    </xf>
    <xf numFmtId="0" fontId="23" fillId="2" borderId="1" xfId="0" applyFont="1" applyFill="1" applyBorder="1" applyAlignment="1">
      <alignment horizontal="center" wrapText="1"/>
    </xf>
    <xf numFmtId="0" fontId="8" fillId="0" borderId="1" xfId="3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11" fillId="0" borderId="1" xfId="2" applyFont="1" applyBorder="1" applyAlignment="1">
      <alignment wrapText="1"/>
    </xf>
    <xf numFmtId="0" fontId="10" fillId="0" borderId="1" xfId="2" applyFont="1" applyBorder="1" applyAlignment="1">
      <alignment wrapText="1"/>
    </xf>
    <xf numFmtId="0" fontId="23" fillId="0" borderId="2" xfId="6" applyFont="1" applyBorder="1" applyAlignment="1">
      <alignment horizontal="left" vertical="center" wrapText="1"/>
    </xf>
    <xf numFmtId="0" fontId="23" fillId="0" borderId="3" xfId="6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10" fillId="0" borderId="1" xfId="2" applyFont="1" applyBorder="1" applyAlignment="1">
      <alignment horizontal="center" wrapText="1"/>
    </xf>
    <xf numFmtId="0" fontId="12" fillId="0" borderId="1" xfId="2" applyBorder="1" applyAlignment="1">
      <alignment horizontal="center" wrapText="1"/>
    </xf>
    <xf numFmtId="0" fontId="22" fillId="0" borderId="2" xfId="6" applyFont="1" applyBorder="1" applyAlignment="1">
      <alignment horizontal="left" vertical="center" wrapText="1"/>
    </xf>
    <xf numFmtId="0" fontId="22" fillId="0" borderId="3" xfId="6" applyFont="1" applyBorder="1" applyAlignment="1">
      <alignment vertical="center" wrapText="1"/>
    </xf>
    <xf numFmtId="0" fontId="23" fillId="0" borderId="2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3" fillId="0" borderId="2" xfId="0" applyFont="1" applyBorder="1" applyAlignment="1">
      <alignment wrapText="1"/>
    </xf>
    <xf numFmtId="0" fontId="23" fillId="0" borderId="5" xfId="0" applyFont="1" applyBorder="1" applyAlignment="1">
      <alignment wrapText="1"/>
    </xf>
    <xf numFmtId="0" fontId="23" fillId="0" borderId="3" xfId="0" applyFont="1" applyBorder="1" applyAlignment="1">
      <alignment wrapText="1"/>
    </xf>
    <xf numFmtId="0" fontId="24" fillId="2" borderId="2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0" fontId="24" fillId="2" borderId="3" xfId="0" applyFont="1" applyFill="1" applyBorder="1" applyAlignment="1">
      <alignment horizontal="center"/>
    </xf>
  </cellXfs>
  <cellStyles count="7">
    <cellStyle name="Comma" xfId="1" builtinId="3"/>
    <cellStyle name="Comma 2 2" xfId="3" xr:uid="{00000000-0005-0000-0000-000031000000}"/>
    <cellStyle name="Comma 3" xfId="4" xr:uid="{00000000-0005-0000-0000-000032000000}"/>
    <cellStyle name="Hyperlink" xfId="2" builtinId="8"/>
    <cellStyle name="Normal" xfId="0" builtinId="0"/>
    <cellStyle name="Normal 2 2" xfId="5" xr:uid="{00000000-0005-0000-0000-000033000000}"/>
    <cellStyle name="Normal 3" xfId="6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oreenmwendwa84@gmail.com" TargetMode="External"/><Relationship Id="rId2" Type="http://schemas.openxmlformats.org/officeDocument/2006/relationships/hyperlink" Target="mailto:dennismusyoka12@gmail.com" TargetMode="External"/><Relationship Id="rId1" Type="http://schemas.openxmlformats.org/officeDocument/2006/relationships/hyperlink" Target="mailto:moffatabuga948@gmail.com" TargetMode="External"/><Relationship Id="rId6" Type="http://schemas.openxmlformats.org/officeDocument/2006/relationships/hyperlink" Target="mailto:danielyonah10@gmail.com" TargetMode="External"/><Relationship Id="rId5" Type="http://schemas.openxmlformats.org/officeDocument/2006/relationships/hyperlink" Target="mailto:dkagendo@knh.or.ke" TargetMode="External"/><Relationship Id="rId4" Type="http://schemas.openxmlformats.org/officeDocument/2006/relationships/hyperlink" Target="mailto:mgakii@knh.or.k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dkagendo@knh.or.ke" TargetMode="External"/><Relationship Id="rId2" Type="http://schemas.openxmlformats.org/officeDocument/2006/relationships/hyperlink" Target="mailto:mgakii@knh.or.ke" TargetMode="External"/><Relationship Id="rId1" Type="http://schemas.openxmlformats.org/officeDocument/2006/relationships/hyperlink" Target="mailto:estherchemwile@mkrh.go.ke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peterkin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15"/>
  <sheetViews>
    <sheetView topLeftCell="A161" zoomScale="85" zoomScaleNormal="85" workbookViewId="0">
      <selection activeCell="A192" sqref="A192:XFD192"/>
    </sheetView>
  </sheetViews>
  <sheetFormatPr defaultColWidth="9.140625" defaultRowHeight="15.75"/>
  <cols>
    <col min="1" max="1" width="10.42578125" style="23" customWidth="1"/>
    <col min="2" max="2" width="22.140625" style="23" customWidth="1"/>
    <col min="3" max="3" width="38.5703125" style="23" customWidth="1"/>
    <col min="4" max="4" width="15" style="119" customWidth="1"/>
    <col min="5" max="5" width="11.42578125" style="121" customWidth="1"/>
    <col min="6" max="6" width="10.140625" style="122" customWidth="1"/>
    <col min="7" max="7" width="14.140625" style="122" customWidth="1"/>
    <col min="8" max="8" width="7.7109375" style="121" customWidth="1"/>
    <col min="9" max="9" width="11" style="121" customWidth="1"/>
    <col min="10" max="10" width="8.7109375" style="121" customWidth="1"/>
    <col min="11" max="11" width="12.140625" style="121" customWidth="1"/>
    <col min="12" max="12" width="16.28515625" style="123" customWidth="1"/>
    <col min="13" max="13" width="14.85546875" style="124" customWidth="1"/>
    <col min="14" max="14" width="4.7109375" style="23" customWidth="1"/>
    <col min="15" max="15" width="0.140625" style="23" customWidth="1"/>
    <col min="16" max="16" width="9.140625" style="23" hidden="1" customWidth="1"/>
    <col min="17" max="16384" width="9.140625" style="23"/>
  </cols>
  <sheetData>
    <row r="1" spans="1:16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1"/>
    </row>
    <row r="3" spans="1:16">
      <c r="A3" s="219" t="s">
        <v>1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1"/>
    </row>
    <row r="5" spans="1:16" s="119" customFormat="1" ht="47.25">
      <c r="A5" s="125" t="s">
        <v>2</v>
      </c>
      <c r="B5" s="125" t="s">
        <v>3</v>
      </c>
      <c r="C5" s="47" t="s">
        <v>4</v>
      </c>
      <c r="D5" s="47" t="s">
        <v>5</v>
      </c>
      <c r="E5" s="48" t="s">
        <v>6</v>
      </c>
      <c r="F5" s="49" t="s">
        <v>7</v>
      </c>
      <c r="G5" s="50" t="s">
        <v>8</v>
      </c>
      <c r="H5" s="98" t="s">
        <v>9</v>
      </c>
      <c r="I5" s="107" t="s">
        <v>10</v>
      </c>
      <c r="J5" s="98" t="s">
        <v>11</v>
      </c>
      <c r="K5" s="107" t="s">
        <v>12</v>
      </c>
      <c r="L5" s="108" t="s">
        <v>13</v>
      </c>
      <c r="M5" s="109" t="s">
        <v>14</v>
      </c>
    </row>
    <row r="6" spans="1:16" ht="63">
      <c r="A6" s="126" t="s">
        <v>15</v>
      </c>
      <c r="B6" s="126" t="s">
        <v>16</v>
      </c>
      <c r="C6" s="126" t="s">
        <v>17</v>
      </c>
      <c r="D6" s="126" t="s">
        <v>18</v>
      </c>
      <c r="E6" s="127">
        <v>39</v>
      </c>
      <c r="F6" s="6">
        <v>100</v>
      </c>
      <c r="G6" s="6">
        <v>100</v>
      </c>
      <c r="H6" s="17">
        <f t="shared" ref="H6:H34" si="0">F6-G6</f>
        <v>0</v>
      </c>
      <c r="I6" s="17">
        <f t="shared" ref="I6:I34" si="1">E6*H6</f>
        <v>0</v>
      </c>
      <c r="J6" s="17">
        <f t="shared" ref="J6:J34" si="2">G6-F6</f>
        <v>0</v>
      </c>
      <c r="K6" s="17">
        <f t="shared" ref="K6:K34" si="3">E6*J6</f>
        <v>0</v>
      </c>
      <c r="L6" s="18">
        <f t="shared" ref="L6:L34" si="4">E6*G6</f>
        <v>3900</v>
      </c>
      <c r="M6" s="30" t="s">
        <v>19</v>
      </c>
    </row>
    <row r="7" spans="1:16" ht="47.25">
      <c r="A7" s="128" t="s">
        <v>20</v>
      </c>
      <c r="B7" s="128" t="s">
        <v>21</v>
      </c>
      <c r="C7" s="128" t="s">
        <v>22</v>
      </c>
      <c r="D7" s="128" t="s">
        <v>23</v>
      </c>
      <c r="E7" s="127">
        <v>120</v>
      </c>
      <c r="F7" s="6">
        <v>50</v>
      </c>
      <c r="G7" s="6">
        <v>50</v>
      </c>
      <c r="H7" s="17">
        <f t="shared" si="0"/>
        <v>0</v>
      </c>
      <c r="I7" s="17">
        <f t="shared" si="1"/>
        <v>0</v>
      </c>
      <c r="J7" s="17">
        <f t="shared" si="2"/>
        <v>0</v>
      </c>
      <c r="K7" s="17">
        <f t="shared" si="3"/>
        <v>0</v>
      </c>
      <c r="L7" s="18">
        <f t="shared" si="4"/>
        <v>6000</v>
      </c>
      <c r="M7" s="30" t="s">
        <v>24</v>
      </c>
    </row>
    <row r="8" spans="1:16">
      <c r="A8" s="126" t="s">
        <v>25</v>
      </c>
      <c r="B8" s="126" t="s">
        <v>26</v>
      </c>
      <c r="C8" s="126" t="s">
        <v>27</v>
      </c>
      <c r="D8" s="129" t="s">
        <v>28</v>
      </c>
      <c r="E8" s="127">
        <v>48</v>
      </c>
      <c r="F8" s="6">
        <v>340</v>
      </c>
      <c r="G8" s="6">
        <v>340</v>
      </c>
      <c r="H8" s="17">
        <f t="shared" si="0"/>
        <v>0</v>
      </c>
      <c r="I8" s="17">
        <f t="shared" si="1"/>
        <v>0</v>
      </c>
      <c r="J8" s="17">
        <f t="shared" si="2"/>
        <v>0</v>
      </c>
      <c r="K8" s="17">
        <f t="shared" si="3"/>
        <v>0</v>
      </c>
      <c r="L8" s="18">
        <f t="shared" si="4"/>
        <v>16320</v>
      </c>
      <c r="M8" s="30" t="s">
        <v>29</v>
      </c>
    </row>
    <row r="9" spans="1:16" ht="31.5">
      <c r="A9" s="126" t="s">
        <v>30</v>
      </c>
      <c r="B9" s="129" t="s">
        <v>31</v>
      </c>
      <c r="C9" s="126" t="s">
        <v>32</v>
      </c>
      <c r="D9" s="126" t="s">
        <v>33</v>
      </c>
      <c r="E9" s="127">
        <v>6000</v>
      </c>
      <c r="F9" s="6">
        <v>24</v>
      </c>
      <c r="G9" s="6">
        <v>24</v>
      </c>
      <c r="H9" s="17">
        <f t="shared" si="0"/>
        <v>0</v>
      </c>
      <c r="I9" s="17">
        <f t="shared" si="1"/>
        <v>0</v>
      </c>
      <c r="J9" s="17">
        <f t="shared" si="2"/>
        <v>0</v>
      </c>
      <c r="K9" s="17">
        <f t="shared" si="3"/>
        <v>0</v>
      </c>
      <c r="L9" s="18">
        <f t="shared" si="4"/>
        <v>144000</v>
      </c>
      <c r="M9" s="30" t="s">
        <v>34</v>
      </c>
    </row>
    <row r="10" spans="1:16">
      <c r="A10" s="126" t="s">
        <v>35</v>
      </c>
      <c r="B10" s="129" t="s">
        <v>36</v>
      </c>
      <c r="C10" s="126" t="s">
        <v>37</v>
      </c>
      <c r="D10" s="129" t="s">
        <v>38</v>
      </c>
      <c r="E10" s="127">
        <v>112</v>
      </c>
      <c r="F10" s="6">
        <v>270</v>
      </c>
      <c r="G10" s="6">
        <v>270</v>
      </c>
      <c r="H10" s="17">
        <f t="shared" si="0"/>
        <v>0</v>
      </c>
      <c r="I10" s="17">
        <f t="shared" si="1"/>
        <v>0</v>
      </c>
      <c r="J10" s="17">
        <f t="shared" si="2"/>
        <v>0</v>
      </c>
      <c r="K10" s="17">
        <f t="shared" si="3"/>
        <v>0</v>
      </c>
      <c r="L10" s="18">
        <f t="shared" si="4"/>
        <v>30240</v>
      </c>
      <c r="M10" s="30" t="s">
        <v>39</v>
      </c>
    </row>
    <row r="11" spans="1:16">
      <c r="A11" s="126" t="s">
        <v>40</v>
      </c>
      <c r="B11" s="126" t="s">
        <v>41</v>
      </c>
      <c r="C11" s="126" t="s">
        <v>42</v>
      </c>
      <c r="D11" s="126" t="s">
        <v>28</v>
      </c>
      <c r="E11" s="127">
        <v>385</v>
      </c>
      <c r="F11" s="6">
        <v>375</v>
      </c>
      <c r="G11" s="6">
        <v>375</v>
      </c>
      <c r="H11" s="17">
        <f t="shared" si="0"/>
        <v>0</v>
      </c>
      <c r="I11" s="17">
        <f t="shared" si="1"/>
        <v>0</v>
      </c>
      <c r="J11" s="17">
        <f t="shared" si="2"/>
        <v>0</v>
      </c>
      <c r="K11" s="17">
        <f t="shared" si="3"/>
        <v>0</v>
      </c>
      <c r="L11" s="18">
        <f t="shared" si="4"/>
        <v>144375</v>
      </c>
      <c r="M11" s="30" t="s">
        <v>43</v>
      </c>
    </row>
    <row r="12" spans="1:16" ht="47.25">
      <c r="A12" s="128" t="s">
        <v>44</v>
      </c>
      <c r="B12" s="128" t="s">
        <v>45</v>
      </c>
      <c r="C12" s="128" t="s">
        <v>46</v>
      </c>
      <c r="D12" s="128" t="s">
        <v>47</v>
      </c>
      <c r="E12" s="127">
        <v>54</v>
      </c>
      <c r="F12" s="6">
        <v>600</v>
      </c>
      <c r="G12" s="6">
        <v>600</v>
      </c>
      <c r="H12" s="17">
        <f t="shared" si="0"/>
        <v>0</v>
      </c>
      <c r="I12" s="17">
        <f t="shared" si="1"/>
        <v>0</v>
      </c>
      <c r="J12" s="17">
        <f t="shared" si="2"/>
        <v>0</v>
      </c>
      <c r="K12" s="17">
        <f t="shared" si="3"/>
        <v>0</v>
      </c>
      <c r="L12" s="18">
        <f t="shared" si="4"/>
        <v>32400</v>
      </c>
      <c r="M12" s="30" t="s">
        <v>48</v>
      </c>
    </row>
    <row r="13" spans="1:16">
      <c r="A13" s="128" t="s">
        <v>49</v>
      </c>
      <c r="B13" s="130" t="s">
        <v>50</v>
      </c>
      <c r="C13" s="128" t="s">
        <v>27</v>
      </c>
      <c r="D13" s="130" t="s">
        <v>51</v>
      </c>
      <c r="E13" s="127">
        <v>85</v>
      </c>
      <c r="F13" s="6">
        <v>140</v>
      </c>
      <c r="G13" s="6">
        <v>140</v>
      </c>
      <c r="H13" s="17">
        <f t="shared" si="0"/>
        <v>0</v>
      </c>
      <c r="I13" s="17">
        <f t="shared" si="1"/>
        <v>0</v>
      </c>
      <c r="J13" s="17">
        <f t="shared" si="2"/>
        <v>0</v>
      </c>
      <c r="K13" s="17">
        <f t="shared" si="3"/>
        <v>0</v>
      </c>
      <c r="L13" s="18">
        <f t="shared" si="4"/>
        <v>11900</v>
      </c>
      <c r="M13" s="30" t="s">
        <v>52</v>
      </c>
    </row>
    <row r="14" spans="1:16">
      <c r="A14" s="128" t="s">
        <v>53</v>
      </c>
      <c r="B14" s="130" t="s">
        <v>54</v>
      </c>
      <c r="C14" s="128" t="s">
        <v>55</v>
      </c>
      <c r="D14" s="130" t="s">
        <v>56</v>
      </c>
      <c r="E14" s="127">
        <v>66</v>
      </c>
      <c r="F14" s="6">
        <v>10</v>
      </c>
      <c r="G14" s="6">
        <v>10</v>
      </c>
      <c r="H14" s="17">
        <f t="shared" si="0"/>
        <v>0</v>
      </c>
      <c r="I14" s="17">
        <f t="shared" si="1"/>
        <v>0</v>
      </c>
      <c r="J14" s="17">
        <f t="shared" si="2"/>
        <v>0</v>
      </c>
      <c r="K14" s="17">
        <f t="shared" si="3"/>
        <v>0</v>
      </c>
      <c r="L14" s="18">
        <f t="shared" si="4"/>
        <v>660</v>
      </c>
      <c r="M14" s="30" t="s">
        <v>57</v>
      </c>
    </row>
    <row r="15" spans="1:16" ht="31.5">
      <c r="A15" s="126" t="s">
        <v>58</v>
      </c>
      <c r="B15" s="129" t="s">
        <v>59</v>
      </c>
      <c r="C15" s="126" t="s">
        <v>60</v>
      </c>
      <c r="D15" s="126" t="s">
        <v>61</v>
      </c>
      <c r="E15" s="127">
        <v>143</v>
      </c>
      <c r="F15" s="6">
        <v>280</v>
      </c>
      <c r="G15" s="6">
        <v>280</v>
      </c>
      <c r="H15" s="17">
        <f t="shared" si="0"/>
        <v>0</v>
      </c>
      <c r="I15" s="17">
        <f t="shared" si="1"/>
        <v>0</v>
      </c>
      <c r="J15" s="17">
        <f t="shared" si="2"/>
        <v>0</v>
      </c>
      <c r="K15" s="17">
        <f t="shared" si="3"/>
        <v>0</v>
      </c>
      <c r="L15" s="18">
        <f t="shared" si="4"/>
        <v>40040</v>
      </c>
      <c r="M15" s="30" t="s">
        <v>24</v>
      </c>
    </row>
    <row r="16" spans="1:16">
      <c r="A16" s="126" t="s">
        <v>62</v>
      </c>
      <c r="B16" s="126" t="s">
        <v>63</v>
      </c>
      <c r="C16" s="126" t="s">
        <v>64</v>
      </c>
      <c r="D16" s="126" t="s">
        <v>28</v>
      </c>
      <c r="E16" s="127">
        <v>60</v>
      </c>
      <c r="F16" s="6">
        <v>220</v>
      </c>
      <c r="G16" s="6">
        <v>220</v>
      </c>
      <c r="H16" s="17">
        <f t="shared" si="0"/>
        <v>0</v>
      </c>
      <c r="I16" s="17">
        <f t="shared" si="1"/>
        <v>0</v>
      </c>
      <c r="J16" s="17">
        <f t="shared" si="2"/>
        <v>0</v>
      </c>
      <c r="K16" s="17">
        <f t="shared" si="3"/>
        <v>0</v>
      </c>
      <c r="L16" s="18">
        <f t="shared" si="4"/>
        <v>13200</v>
      </c>
      <c r="M16" s="30" t="s">
        <v>65</v>
      </c>
    </row>
    <row r="17" spans="1:13">
      <c r="A17" s="126" t="s">
        <v>66</v>
      </c>
      <c r="B17" s="129" t="s">
        <v>67</v>
      </c>
      <c r="C17" s="126" t="s">
        <v>68</v>
      </c>
      <c r="D17" s="129" t="s">
        <v>56</v>
      </c>
      <c r="E17" s="127">
        <v>90</v>
      </c>
      <c r="F17" s="6">
        <v>210</v>
      </c>
      <c r="G17" s="6">
        <v>210</v>
      </c>
      <c r="H17" s="17">
        <f t="shared" si="0"/>
        <v>0</v>
      </c>
      <c r="I17" s="17">
        <f t="shared" si="1"/>
        <v>0</v>
      </c>
      <c r="J17" s="17">
        <f t="shared" si="2"/>
        <v>0</v>
      </c>
      <c r="K17" s="17">
        <f t="shared" si="3"/>
        <v>0</v>
      </c>
      <c r="L17" s="18">
        <f t="shared" si="4"/>
        <v>18900</v>
      </c>
      <c r="M17" s="30" t="s">
        <v>69</v>
      </c>
    </row>
    <row r="18" spans="1:13">
      <c r="A18" s="126" t="s">
        <v>70</v>
      </c>
      <c r="B18" s="126" t="s">
        <v>71</v>
      </c>
      <c r="C18" s="126" t="s">
        <v>72</v>
      </c>
      <c r="D18" s="126" t="s">
        <v>73</v>
      </c>
      <c r="E18" s="127">
        <v>13000</v>
      </c>
      <c r="F18" s="6">
        <v>41</v>
      </c>
      <c r="G18" s="6">
        <v>41</v>
      </c>
      <c r="H18" s="17">
        <f t="shared" si="0"/>
        <v>0</v>
      </c>
      <c r="I18" s="17">
        <f t="shared" si="1"/>
        <v>0</v>
      </c>
      <c r="J18" s="17">
        <f t="shared" si="2"/>
        <v>0</v>
      </c>
      <c r="K18" s="17">
        <f t="shared" si="3"/>
        <v>0</v>
      </c>
      <c r="L18" s="18">
        <f t="shared" si="4"/>
        <v>533000</v>
      </c>
      <c r="M18" s="30" t="s">
        <v>39</v>
      </c>
    </row>
    <row r="19" spans="1:13">
      <c r="A19" s="126" t="s">
        <v>74</v>
      </c>
      <c r="B19" s="129" t="s">
        <v>75</v>
      </c>
      <c r="C19" s="126" t="s">
        <v>76</v>
      </c>
      <c r="D19" s="126" t="s">
        <v>77</v>
      </c>
      <c r="E19" s="127">
        <v>3.35</v>
      </c>
      <c r="F19" s="6">
        <v>2010</v>
      </c>
      <c r="G19" s="6">
        <v>2010</v>
      </c>
      <c r="H19" s="17">
        <f t="shared" si="0"/>
        <v>0</v>
      </c>
      <c r="I19" s="17">
        <f t="shared" si="1"/>
        <v>0</v>
      </c>
      <c r="J19" s="17">
        <f t="shared" si="2"/>
        <v>0</v>
      </c>
      <c r="K19" s="17">
        <f t="shared" si="3"/>
        <v>0</v>
      </c>
      <c r="L19" s="18">
        <f t="shared" si="4"/>
        <v>6733.5</v>
      </c>
      <c r="M19" s="30" t="s">
        <v>78</v>
      </c>
    </row>
    <row r="20" spans="1:13">
      <c r="A20" s="126" t="s">
        <v>79</v>
      </c>
      <c r="B20" s="129" t="s">
        <v>80</v>
      </c>
      <c r="C20" s="126" t="s">
        <v>81</v>
      </c>
      <c r="D20" s="126" t="s">
        <v>77</v>
      </c>
      <c r="E20" s="21">
        <v>0.85</v>
      </c>
      <c r="F20" s="6">
        <v>3800</v>
      </c>
      <c r="G20" s="6">
        <v>3800</v>
      </c>
      <c r="H20" s="17">
        <f t="shared" si="0"/>
        <v>0</v>
      </c>
      <c r="I20" s="17">
        <f t="shared" si="1"/>
        <v>0</v>
      </c>
      <c r="J20" s="17">
        <f t="shared" si="2"/>
        <v>0</v>
      </c>
      <c r="K20" s="17">
        <f t="shared" si="3"/>
        <v>0</v>
      </c>
      <c r="L20" s="18">
        <f t="shared" si="4"/>
        <v>3230</v>
      </c>
      <c r="M20" s="30" t="s">
        <v>34</v>
      </c>
    </row>
    <row r="21" spans="1:13">
      <c r="A21" s="128" t="s">
        <v>82</v>
      </c>
      <c r="B21" s="130" t="s">
        <v>80</v>
      </c>
      <c r="C21" s="128" t="s">
        <v>83</v>
      </c>
      <c r="D21" s="128" t="s">
        <v>84</v>
      </c>
      <c r="E21" s="21">
        <v>42</v>
      </c>
      <c r="F21" s="6">
        <v>325</v>
      </c>
      <c r="G21" s="6">
        <v>325</v>
      </c>
      <c r="H21" s="17">
        <f t="shared" si="0"/>
        <v>0</v>
      </c>
      <c r="I21" s="17">
        <f t="shared" si="1"/>
        <v>0</v>
      </c>
      <c r="J21" s="17">
        <f t="shared" si="2"/>
        <v>0</v>
      </c>
      <c r="K21" s="17">
        <f t="shared" si="3"/>
        <v>0</v>
      </c>
      <c r="L21" s="18">
        <f t="shared" si="4"/>
        <v>13650</v>
      </c>
      <c r="M21" s="30" t="s">
        <v>85</v>
      </c>
    </row>
    <row r="22" spans="1:13" ht="31.5">
      <c r="A22" s="128" t="s">
        <v>86</v>
      </c>
      <c r="B22" s="130" t="s">
        <v>87</v>
      </c>
      <c r="C22" s="128" t="s">
        <v>88</v>
      </c>
      <c r="D22" s="130" t="s">
        <v>89</v>
      </c>
      <c r="E22" s="127">
        <v>1.88</v>
      </c>
      <c r="F22" s="6">
        <v>43000</v>
      </c>
      <c r="G22" s="6">
        <v>43000</v>
      </c>
      <c r="H22" s="17">
        <f t="shared" si="0"/>
        <v>0</v>
      </c>
      <c r="I22" s="17">
        <f t="shared" si="1"/>
        <v>0</v>
      </c>
      <c r="J22" s="17">
        <f t="shared" si="2"/>
        <v>0</v>
      </c>
      <c r="K22" s="17">
        <f t="shared" si="3"/>
        <v>0</v>
      </c>
      <c r="L22" s="18">
        <f t="shared" si="4"/>
        <v>80840</v>
      </c>
      <c r="M22" s="30" t="s">
        <v>34</v>
      </c>
    </row>
    <row r="23" spans="1:13">
      <c r="A23" s="126" t="s">
        <v>90</v>
      </c>
      <c r="B23" s="129" t="s">
        <v>87</v>
      </c>
      <c r="C23" s="126" t="s">
        <v>91</v>
      </c>
      <c r="D23" s="126" t="s">
        <v>84</v>
      </c>
      <c r="E23" s="127">
        <v>39</v>
      </c>
      <c r="F23" s="6">
        <v>50</v>
      </c>
      <c r="G23" s="6">
        <v>50</v>
      </c>
      <c r="H23" s="17">
        <f t="shared" si="0"/>
        <v>0</v>
      </c>
      <c r="I23" s="17">
        <f t="shared" si="1"/>
        <v>0</v>
      </c>
      <c r="J23" s="17">
        <f t="shared" si="2"/>
        <v>0</v>
      </c>
      <c r="K23" s="17">
        <f t="shared" si="3"/>
        <v>0</v>
      </c>
      <c r="L23" s="18">
        <f t="shared" si="4"/>
        <v>1950</v>
      </c>
      <c r="M23" s="30" t="s">
        <v>29</v>
      </c>
    </row>
    <row r="24" spans="1:13">
      <c r="A24" s="126" t="s">
        <v>92</v>
      </c>
      <c r="B24" s="129" t="s">
        <v>93</v>
      </c>
      <c r="C24" s="126" t="s">
        <v>94</v>
      </c>
      <c r="D24" s="126" t="s">
        <v>95</v>
      </c>
      <c r="E24" s="127">
        <v>4</v>
      </c>
      <c r="F24" s="6">
        <v>300</v>
      </c>
      <c r="G24" s="6">
        <v>300</v>
      </c>
      <c r="H24" s="17">
        <f t="shared" si="0"/>
        <v>0</v>
      </c>
      <c r="I24" s="17">
        <f t="shared" si="1"/>
        <v>0</v>
      </c>
      <c r="J24" s="17">
        <f t="shared" si="2"/>
        <v>0</v>
      </c>
      <c r="K24" s="17">
        <f t="shared" si="3"/>
        <v>0</v>
      </c>
      <c r="L24" s="18">
        <f t="shared" si="4"/>
        <v>1200</v>
      </c>
      <c r="M24" s="30" t="s">
        <v>78</v>
      </c>
    </row>
    <row r="25" spans="1:13" ht="31.5">
      <c r="A25" s="128" t="s">
        <v>96</v>
      </c>
      <c r="B25" s="130" t="s">
        <v>93</v>
      </c>
      <c r="C25" s="128" t="s">
        <v>97</v>
      </c>
      <c r="D25" s="128" t="s">
        <v>28</v>
      </c>
      <c r="E25" s="127">
        <v>12</v>
      </c>
      <c r="F25" s="6">
        <v>1500</v>
      </c>
      <c r="G25" s="6">
        <v>1500</v>
      </c>
      <c r="H25" s="17">
        <f t="shared" si="0"/>
        <v>0</v>
      </c>
      <c r="I25" s="17">
        <f t="shared" si="1"/>
        <v>0</v>
      </c>
      <c r="J25" s="17">
        <f t="shared" si="2"/>
        <v>0</v>
      </c>
      <c r="K25" s="17">
        <f t="shared" si="3"/>
        <v>0</v>
      </c>
      <c r="L25" s="18">
        <f t="shared" si="4"/>
        <v>18000</v>
      </c>
      <c r="M25" s="30" t="s">
        <v>98</v>
      </c>
    </row>
    <row r="26" spans="1:13">
      <c r="A26" s="126" t="s">
        <v>99</v>
      </c>
      <c r="B26" s="129" t="s">
        <v>100</v>
      </c>
      <c r="C26" s="126" t="s">
        <v>101</v>
      </c>
      <c r="D26" s="126" t="s">
        <v>77</v>
      </c>
      <c r="E26" s="127">
        <v>1.33</v>
      </c>
      <c r="F26" s="6">
        <v>200</v>
      </c>
      <c r="G26" s="6">
        <v>200</v>
      </c>
      <c r="H26" s="17">
        <f t="shared" si="0"/>
        <v>0</v>
      </c>
      <c r="I26" s="17">
        <f t="shared" si="1"/>
        <v>0</v>
      </c>
      <c r="J26" s="17">
        <f t="shared" si="2"/>
        <v>0</v>
      </c>
      <c r="K26" s="17">
        <f t="shared" si="3"/>
        <v>0</v>
      </c>
      <c r="L26" s="18">
        <f t="shared" si="4"/>
        <v>266</v>
      </c>
      <c r="M26" s="30" t="s">
        <v>39</v>
      </c>
    </row>
    <row r="27" spans="1:13">
      <c r="A27" s="126" t="s">
        <v>102</v>
      </c>
      <c r="B27" s="129" t="s">
        <v>87</v>
      </c>
      <c r="C27" s="126" t="s">
        <v>103</v>
      </c>
      <c r="D27" s="126" t="s">
        <v>104</v>
      </c>
      <c r="E27" s="127">
        <v>5.7</v>
      </c>
      <c r="F27" s="6">
        <v>300</v>
      </c>
      <c r="G27" s="6">
        <v>300</v>
      </c>
      <c r="H27" s="17">
        <f t="shared" si="0"/>
        <v>0</v>
      </c>
      <c r="I27" s="17">
        <f t="shared" si="1"/>
        <v>0</v>
      </c>
      <c r="J27" s="17">
        <f t="shared" si="2"/>
        <v>0</v>
      </c>
      <c r="K27" s="17">
        <f t="shared" si="3"/>
        <v>0</v>
      </c>
      <c r="L27" s="18">
        <f t="shared" si="4"/>
        <v>1710</v>
      </c>
      <c r="M27" s="30" t="s">
        <v>29</v>
      </c>
    </row>
    <row r="28" spans="1:13">
      <c r="A28" s="126" t="s">
        <v>105</v>
      </c>
      <c r="B28" s="129" t="s">
        <v>87</v>
      </c>
      <c r="C28" s="126" t="s">
        <v>106</v>
      </c>
      <c r="D28" s="126" t="s">
        <v>107</v>
      </c>
      <c r="E28" s="127">
        <v>6</v>
      </c>
      <c r="F28" s="6"/>
      <c r="G28" s="6"/>
      <c r="H28" s="17">
        <f t="shared" si="0"/>
        <v>0</v>
      </c>
      <c r="I28" s="17">
        <f t="shared" si="1"/>
        <v>0</v>
      </c>
      <c r="J28" s="17">
        <f t="shared" si="2"/>
        <v>0</v>
      </c>
      <c r="K28" s="17">
        <f t="shared" si="3"/>
        <v>0</v>
      </c>
      <c r="L28" s="18">
        <f t="shared" si="4"/>
        <v>0</v>
      </c>
      <c r="M28" s="30"/>
    </row>
    <row r="29" spans="1:13">
      <c r="A29" s="126" t="s">
        <v>108</v>
      </c>
      <c r="B29" s="129" t="s">
        <v>109</v>
      </c>
      <c r="C29" s="126" t="s">
        <v>110</v>
      </c>
      <c r="D29" s="126" t="s">
        <v>104</v>
      </c>
      <c r="E29" s="127">
        <v>56.94</v>
      </c>
      <c r="F29" s="6">
        <v>1650</v>
      </c>
      <c r="G29" s="6">
        <v>1650</v>
      </c>
      <c r="H29" s="17">
        <f t="shared" si="0"/>
        <v>0</v>
      </c>
      <c r="I29" s="17">
        <f t="shared" si="1"/>
        <v>0</v>
      </c>
      <c r="J29" s="17">
        <f t="shared" si="2"/>
        <v>0</v>
      </c>
      <c r="K29" s="17">
        <f t="shared" si="3"/>
        <v>0</v>
      </c>
      <c r="L29" s="18">
        <f t="shared" si="4"/>
        <v>93951</v>
      </c>
      <c r="M29" s="30" t="s">
        <v>111</v>
      </c>
    </row>
    <row r="30" spans="1:13">
      <c r="A30" s="128" t="s">
        <v>112</v>
      </c>
      <c r="B30" s="130" t="s">
        <v>87</v>
      </c>
      <c r="C30" s="128" t="s">
        <v>113</v>
      </c>
      <c r="D30" s="128" t="s">
        <v>114</v>
      </c>
      <c r="E30" s="127">
        <v>68</v>
      </c>
      <c r="F30" s="6">
        <v>3600</v>
      </c>
      <c r="G30" s="6">
        <v>3600</v>
      </c>
      <c r="H30" s="17">
        <f t="shared" si="0"/>
        <v>0</v>
      </c>
      <c r="I30" s="17">
        <f t="shared" si="1"/>
        <v>0</v>
      </c>
      <c r="J30" s="17">
        <f t="shared" si="2"/>
        <v>0</v>
      </c>
      <c r="K30" s="17">
        <f t="shared" si="3"/>
        <v>0</v>
      </c>
      <c r="L30" s="18">
        <f t="shared" si="4"/>
        <v>244800</v>
      </c>
      <c r="M30" s="30" t="s">
        <v>48</v>
      </c>
    </row>
    <row r="31" spans="1:13" ht="31.5">
      <c r="A31" s="128" t="s">
        <v>115</v>
      </c>
      <c r="B31" s="128" t="s">
        <v>116</v>
      </c>
      <c r="C31" s="128" t="s">
        <v>117</v>
      </c>
      <c r="D31" s="128" t="s">
        <v>118</v>
      </c>
      <c r="E31" s="127">
        <v>33</v>
      </c>
      <c r="F31" s="6">
        <v>2400</v>
      </c>
      <c r="G31" s="6">
        <v>2400</v>
      </c>
      <c r="H31" s="17">
        <f t="shared" si="0"/>
        <v>0</v>
      </c>
      <c r="I31" s="17">
        <f t="shared" si="1"/>
        <v>0</v>
      </c>
      <c r="J31" s="17">
        <f t="shared" si="2"/>
        <v>0</v>
      </c>
      <c r="K31" s="17">
        <f t="shared" si="3"/>
        <v>0</v>
      </c>
      <c r="L31" s="18">
        <f t="shared" si="4"/>
        <v>79200</v>
      </c>
      <c r="M31" s="30" t="s">
        <v>119</v>
      </c>
    </row>
    <row r="32" spans="1:13" ht="31.5">
      <c r="A32" s="128" t="s">
        <v>120</v>
      </c>
      <c r="B32" s="130" t="s">
        <v>121</v>
      </c>
      <c r="C32" s="130" t="s">
        <v>122</v>
      </c>
      <c r="D32" s="128" t="s">
        <v>123</v>
      </c>
      <c r="E32" s="127">
        <v>10</v>
      </c>
      <c r="F32" s="6">
        <v>4600</v>
      </c>
      <c r="G32" s="6">
        <v>4600</v>
      </c>
      <c r="H32" s="17">
        <f t="shared" si="0"/>
        <v>0</v>
      </c>
      <c r="I32" s="17">
        <f t="shared" si="1"/>
        <v>0</v>
      </c>
      <c r="J32" s="17">
        <f t="shared" si="2"/>
        <v>0</v>
      </c>
      <c r="K32" s="17">
        <f t="shared" si="3"/>
        <v>0</v>
      </c>
      <c r="L32" s="18">
        <f t="shared" si="4"/>
        <v>46000</v>
      </c>
      <c r="M32" s="30" t="s">
        <v>124</v>
      </c>
    </row>
    <row r="33" spans="1:13" ht="31.5">
      <c r="A33" s="126" t="s">
        <v>125</v>
      </c>
      <c r="B33" s="129" t="s">
        <v>126</v>
      </c>
      <c r="C33" s="126" t="s">
        <v>127</v>
      </c>
      <c r="D33" s="126" t="s">
        <v>56</v>
      </c>
      <c r="E33" s="127">
        <v>42</v>
      </c>
      <c r="F33" s="6">
        <v>410</v>
      </c>
      <c r="G33" s="6">
        <v>410</v>
      </c>
      <c r="H33" s="17">
        <f t="shared" si="0"/>
        <v>0</v>
      </c>
      <c r="I33" s="17">
        <f t="shared" si="1"/>
        <v>0</v>
      </c>
      <c r="J33" s="17">
        <f t="shared" si="2"/>
        <v>0</v>
      </c>
      <c r="K33" s="17">
        <f t="shared" si="3"/>
        <v>0</v>
      </c>
      <c r="L33" s="18">
        <f t="shared" si="4"/>
        <v>17220</v>
      </c>
      <c r="M33" s="30" t="s">
        <v>29</v>
      </c>
    </row>
    <row r="34" spans="1:13" ht="31.5">
      <c r="A34" s="126" t="s">
        <v>128</v>
      </c>
      <c r="B34" s="129" t="s">
        <v>126</v>
      </c>
      <c r="C34" s="126" t="s">
        <v>129</v>
      </c>
      <c r="D34" s="126" t="s">
        <v>118</v>
      </c>
      <c r="E34" s="127">
        <v>30</v>
      </c>
      <c r="F34" s="6">
        <v>950</v>
      </c>
      <c r="G34" s="6">
        <v>950</v>
      </c>
      <c r="H34" s="17">
        <f t="shared" si="0"/>
        <v>0</v>
      </c>
      <c r="I34" s="17">
        <f t="shared" si="1"/>
        <v>0</v>
      </c>
      <c r="J34" s="17">
        <f t="shared" si="2"/>
        <v>0</v>
      </c>
      <c r="K34" s="17">
        <f t="shared" si="3"/>
        <v>0</v>
      </c>
      <c r="L34" s="18">
        <f t="shared" si="4"/>
        <v>28500</v>
      </c>
      <c r="M34" s="30" t="s">
        <v>130</v>
      </c>
    </row>
    <row r="35" spans="1:13">
      <c r="A35" s="126" t="s">
        <v>131</v>
      </c>
      <c r="B35" s="126" t="s">
        <v>132</v>
      </c>
      <c r="C35" s="126" t="s">
        <v>133</v>
      </c>
      <c r="D35" s="126" t="s">
        <v>134</v>
      </c>
      <c r="E35" s="127">
        <v>5.8</v>
      </c>
      <c r="F35" s="6">
        <v>300</v>
      </c>
      <c r="G35" s="6">
        <v>300</v>
      </c>
      <c r="H35" s="17">
        <f t="shared" ref="H35:H52" si="5">F35-G35</f>
        <v>0</v>
      </c>
      <c r="I35" s="17">
        <f t="shared" ref="I35:I52" si="6">E35*H35</f>
        <v>0</v>
      </c>
      <c r="J35" s="17">
        <f t="shared" ref="J35:J52" si="7">G35-F35</f>
        <v>0</v>
      </c>
      <c r="K35" s="17">
        <f t="shared" ref="K35:K52" si="8">E35*J35</f>
        <v>0</v>
      </c>
      <c r="L35" s="18">
        <f t="shared" ref="L35:L52" si="9">E35*G35</f>
        <v>1740</v>
      </c>
      <c r="M35" s="30" t="s">
        <v>135</v>
      </c>
    </row>
    <row r="36" spans="1:13" ht="31.5">
      <c r="A36" s="128" t="s">
        <v>136</v>
      </c>
      <c r="B36" s="128" t="s">
        <v>137</v>
      </c>
      <c r="C36" s="128" t="s">
        <v>138</v>
      </c>
      <c r="D36" s="128" t="s">
        <v>118</v>
      </c>
      <c r="E36" s="21">
        <v>35</v>
      </c>
      <c r="F36" s="6">
        <v>5700</v>
      </c>
      <c r="G36" s="6">
        <v>5700</v>
      </c>
      <c r="H36" s="17">
        <f t="shared" si="5"/>
        <v>0</v>
      </c>
      <c r="I36" s="17">
        <f t="shared" si="6"/>
        <v>0</v>
      </c>
      <c r="J36" s="17">
        <f t="shared" si="7"/>
        <v>0</v>
      </c>
      <c r="K36" s="17">
        <f t="shared" si="8"/>
        <v>0</v>
      </c>
      <c r="L36" s="18">
        <f t="shared" si="9"/>
        <v>199500</v>
      </c>
      <c r="M36" s="30" t="s">
        <v>139</v>
      </c>
    </row>
    <row r="37" spans="1:13" ht="31.5">
      <c r="A37" s="126" t="s">
        <v>140</v>
      </c>
      <c r="B37" s="129" t="s">
        <v>141</v>
      </c>
      <c r="C37" s="126" t="s">
        <v>142</v>
      </c>
      <c r="D37" s="126" t="s">
        <v>123</v>
      </c>
      <c r="E37" s="21">
        <v>10</v>
      </c>
      <c r="F37" s="6">
        <v>300</v>
      </c>
      <c r="G37" s="6">
        <v>300</v>
      </c>
      <c r="H37" s="17">
        <f t="shared" si="5"/>
        <v>0</v>
      </c>
      <c r="I37" s="17">
        <f t="shared" si="6"/>
        <v>0</v>
      </c>
      <c r="J37" s="17">
        <f t="shared" si="7"/>
        <v>0</v>
      </c>
      <c r="K37" s="17">
        <f t="shared" si="8"/>
        <v>0</v>
      </c>
      <c r="L37" s="18">
        <f t="shared" si="9"/>
        <v>3000</v>
      </c>
      <c r="M37" s="30" t="s">
        <v>143</v>
      </c>
    </row>
    <row r="38" spans="1:13" ht="31.5">
      <c r="A38" s="126" t="s">
        <v>144</v>
      </c>
      <c r="B38" s="129" t="s">
        <v>145</v>
      </c>
      <c r="C38" s="126" t="s">
        <v>146</v>
      </c>
      <c r="D38" s="126" t="s">
        <v>118</v>
      </c>
      <c r="E38" s="21">
        <v>5.56</v>
      </c>
      <c r="F38" s="6">
        <v>1300</v>
      </c>
      <c r="G38" s="6">
        <v>1300</v>
      </c>
      <c r="H38" s="17">
        <f t="shared" si="5"/>
        <v>0</v>
      </c>
      <c r="I38" s="17">
        <f t="shared" si="6"/>
        <v>0</v>
      </c>
      <c r="J38" s="17">
        <f t="shared" si="7"/>
        <v>0</v>
      </c>
      <c r="K38" s="17">
        <f t="shared" si="8"/>
        <v>0</v>
      </c>
      <c r="L38" s="18">
        <f t="shared" si="9"/>
        <v>7228</v>
      </c>
      <c r="M38" s="30" t="s">
        <v>139</v>
      </c>
    </row>
    <row r="39" spans="1:13" ht="31.5">
      <c r="A39" s="126" t="s">
        <v>147</v>
      </c>
      <c r="B39" s="126" t="s">
        <v>148</v>
      </c>
      <c r="C39" s="126" t="s">
        <v>149</v>
      </c>
      <c r="D39" s="126" t="s">
        <v>118</v>
      </c>
      <c r="E39" s="21">
        <v>0.75</v>
      </c>
      <c r="F39" s="6">
        <v>2000</v>
      </c>
      <c r="G39" s="6">
        <v>2000</v>
      </c>
      <c r="H39" s="17">
        <f t="shared" si="5"/>
        <v>0</v>
      </c>
      <c r="I39" s="17">
        <f t="shared" si="6"/>
        <v>0</v>
      </c>
      <c r="J39" s="17">
        <f t="shared" si="7"/>
        <v>0</v>
      </c>
      <c r="K39" s="17">
        <f t="shared" si="8"/>
        <v>0</v>
      </c>
      <c r="L39" s="18">
        <f t="shared" si="9"/>
        <v>1500</v>
      </c>
      <c r="M39" s="30" t="s">
        <v>85</v>
      </c>
    </row>
    <row r="40" spans="1:13">
      <c r="A40" s="128" t="s">
        <v>150</v>
      </c>
      <c r="B40" s="128" t="s">
        <v>148</v>
      </c>
      <c r="C40" s="128" t="s">
        <v>151</v>
      </c>
      <c r="D40" s="128" t="s">
        <v>152</v>
      </c>
      <c r="E40" s="21">
        <v>90</v>
      </c>
      <c r="F40" s="6">
        <v>60</v>
      </c>
      <c r="G40" s="6">
        <v>60</v>
      </c>
      <c r="H40" s="17">
        <f t="shared" si="5"/>
        <v>0</v>
      </c>
      <c r="I40" s="17">
        <f t="shared" si="6"/>
        <v>0</v>
      </c>
      <c r="J40" s="17">
        <f t="shared" si="7"/>
        <v>0</v>
      </c>
      <c r="K40" s="17">
        <f t="shared" si="8"/>
        <v>0</v>
      </c>
      <c r="L40" s="18">
        <f t="shared" si="9"/>
        <v>5400</v>
      </c>
      <c r="M40" s="30"/>
    </row>
    <row r="41" spans="1:13" ht="31.5">
      <c r="A41" s="126" t="s">
        <v>153</v>
      </c>
      <c r="B41" s="126" t="s">
        <v>154</v>
      </c>
      <c r="C41" s="126" t="s">
        <v>155</v>
      </c>
      <c r="D41" s="131" t="s">
        <v>118</v>
      </c>
      <c r="E41" s="21">
        <v>8</v>
      </c>
      <c r="F41" s="6">
        <v>800</v>
      </c>
      <c r="G41" s="6">
        <v>800</v>
      </c>
      <c r="H41" s="17">
        <f t="shared" si="5"/>
        <v>0</v>
      </c>
      <c r="I41" s="17">
        <f t="shared" si="6"/>
        <v>0</v>
      </c>
      <c r="J41" s="17">
        <f t="shared" si="7"/>
        <v>0</v>
      </c>
      <c r="K41" s="17">
        <f t="shared" si="8"/>
        <v>0</v>
      </c>
      <c r="L41" s="18">
        <f t="shared" si="9"/>
        <v>6400</v>
      </c>
      <c r="M41" s="30" t="s">
        <v>139</v>
      </c>
    </row>
    <row r="42" spans="1:13">
      <c r="A42" s="132" t="s">
        <v>156</v>
      </c>
      <c r="B42" s="132" t="s">
        <v>154</v>
      </c>
      <c r="C42" s="132" t="s">
        <v>157</v>
      </c>
      <c r="D42" s="126" t="s">
        <v>158</v>
      </c>
      <c r="E42" s="21">
        <v>1077</v>
      </c>
      <c r="F42" s="6">
        <v>21</v>
      </c>
      <c r="G42" s="6">
        <v>21</v>
      </c>
      <c r="H42" s="17">
        <f t="shared" si="5"/>
        <v>0</v>
      </c>
      <c r="I42" s="17">
        <f t="shared" si="6"/>
        <v>0</v>
      </c>
      <c r="J42" s="17">
        <f t="shared" si="7"/>
        <v>0</v>
      </c>
      <c r="K42" s="17">
        <f t="shared" si="8"/>
        <v>0</v>
      </c>
      <c r="L42" s="18">
        <f t="shared" si="9"/>
        <v>22617</v>
      </c>
      <c r="M42" s="30" t="s">
        <v>159</v>
      </c>
    </row>
    <row r="43" spans="1:13" ht="31.5">
      <c r="A43" s="128" t="s">
        <v>160</v>
      </c>
      <c r="B43" s="128" t="s">
        <v>161</v>
      </c>
      <c r="C43" s="128" t="s">
        <v>162</v>
      </c>
      <c r="D43" s="128" t="s">
        <v>28</v>
      </c>
      <c r="E43" s="127">
        <v>27</v>
      </c>
      <c r="F43" s="6">
        <v>500</v>
      </c>
      <c r="G43" s="6">
        <v>500</v>
      </c>
      <c r="H43" s="17">
        <f t="shared" si="5"/>
        <v>0</v>
      </c>
      <c r="I43" s="17">
        <f t="shared" si="6"/>
        <v>0</v>
      </c>
      <c r="J43" s="17">
        <f t="shared" si="7"/>
        <v>0</v>
      </c>
      <c r="K43" s="17">
        <f t="shared" si="8"/>
        <v>0</v>
      </c>
      <c r="L43" s="18">
        <f t="shared" si="9"/>
        <v>13500</v>
      </c>
      <c r="M43" s="30" t="s">
        <v>24</v>
      </c>
    </row>
    <row r="44" spans="1:13">
      <c r="A44" s="128" t="s">
        <v>163</v>
      </c>
      <c r="B44" s="128" t="s">
        <v>161</v>
      </c>
      <c r="C44" s="128" t="s">
        <v>164</v>
      </c>
      <c r="D44" s="128" t="s">
        <v>165</v>
      </c>
      <c r="E44" s="127">
        <v>280</v>
      </c>
      <c r="F44" s="6">
        <v>200</v>
      </c>
      <c r="G44" s="6">
        <v>200</v>
      </c>
      <c r="H44" s="17">
        <f t="shared" si="5"/>
        <v>0</v>
      </c>
      <c r="I44" s="17">
        <f t="shared" si="6"/>
        <v>0</v>
      </c>
      <c r="J44" s="17">
        <f t="shared" si="7"/>
        <v>0</v>
      </c>
      <c r="K44" s="17">
        <f t="shared" si="8"/>
        <v>0</v>
      </c>
      <c r="L44" s="18">
        <f t="shared" si="9"/>
        <v>56000</v>
      </c>
      <c r="M44" s="30" t="s">
        <v>166</v>
      </c>
    </row>
    <row r="45" spans="1:13" ht="31.5">
      <c r="A45" s="126" t="s">
        <v>167</v>
      </c>
      <c r="B45" s="129" t="s">
        <v>168</v>
      </c>
      <c r="C45" s="126" t="s">
        <v>169</v>
      </c>
      <c r="D45" s="126" t="s">
        <v>28</v>
      </c>
      <c r="E45" s="127">
        <v>1190</v>
      </c>
      <c r="F45" s="6">
        <v>20</v>
      </c>
      <c r="G45" s="6">
        <v>20</v>
      </c>
      <c r="H45" s="17">
        <f t="shared" si="5"/>
        <v>0</v>
      </c>
      <c r="I45" s="17">
        <f t="shared" si="6"/>
        <v>0</v>
      </c>
      <c r="J45" s="17">
        <f t="shared" si="7"/>
        <v>0</v>
      </c>
      <c r="K45" s="17">
        <f t="shared" si="8"/>
        <v>0</v>
      </c>
      <c r="L45" s="18">
        <f t="shared" si="9"/>
        <v>23800</v>
      </c>
      <c r="M45" s="30" t="s">
        <v>139</v>
      </c>
    </row>
    <row r="46" spans="1:13">
      <c r="A46" s="126" t="s">
        <v>170</v>
      </c>
      <c r="B46" s="129" t="s">
        <v>171</v>
      </c>
      <c r="C46" s="23" t="s">
        <v>172</v>
      </c>
      <c r="D46" s="126" t="s">
        <v>56</v>
      </c>
      <c r="E46" s="127">
        <v>100</v>
      </c>
      <c r="F46" s="6">
        <v>10</v>
      </c>
      <c r="G46" s="6">
        <v>10</v>
      </c>
      <c r="H46" s="17">
        <f t="shared" si="5"/>
        <v>0</v>
      </c>
      <c r="I46" s="17">
        <f t="shared" si="6"/>
        <v>0</v>
      </c>
      <c r="J46" s="17">
        <f t="shared" si="7"/>
        <v>0</v>
      </c>
      <c r="K46" s="17">
        <f t="shared" si="8"/>
        <v>0</v>
      </c>
      <c r="L46" s="18">
        <f t="shared" si="9"/>
        <v>1000</v>
      </c>
      <c r="M46" s="30" t="s">
        <v>52</v>
      </c>
    </row>
    <row r="47" spans="1:13">
      <c r="A47" s="126" t="s">
        <v>173</v>
      </c>
      <c r="B47" s="129" t="s">
        <v>174</v>
      </c>
      <c r="C47" s="23" t="s">
        <v>175</v>
      </c>
      <c r="D47" s="126" t="s">
        <v>175</v>
      </c>
      <c r="E47" s="127">
        <v>45</v>
      </c>
      <c r="F47" s="6">
        <v>700</v>
      </c>
      <c r="G47" s="6">
        <v>700</v>
      </c>
      <c r="H47" s="17">
        <f t="shared" si="5"/>
        <v>0</v>
      </c>
      <c r="I47" s="17">
        <f t="shared" si="6"/>
        <v>0</v>
      </c>
      <c r="J47" s="17">
        <f t="shared" si="7"/>
        <v>0</v>
      </c>
      <c r="K47" s="17">
        <f t="shared" si="8"/>
        <v>0</v>
      </c>
      <c r="L47" s="18">
        <f t="shared" si="9"/>
        <v>31500</v>
      </c>
      <c r="M47" s="30" t="s">
        <v>139</v>
      </c>
    </row>
    <row r="48" spans="1:13">
      <c r="A48" s="126" t="s">
        <v>176</v>
      </c>
      <c r="B48" s="129" t="s">
        <v>177</v>
      </c>
      <c r="C48" s="126" t="s">
        <v>178</v>
      </c>
      <c r="D48" s="126" t="s">
        <v>179</v>
      </c>
      <c r="E48" s="127">
        <v>5</v>
      </c>
      <c r="F48" s="6">
        <v>1050</v>
      </c>
      <c r="G48" s="6">
        <v>1050</v>
      </c>
      <c r="H48" s="17">
        <f t="shared" si="5"/>
        <v>0</v>
      </c>
      <c r="I48" s="17">
        <f t="shared" si="6"/>
        <v>0</v>
      </c>
      <c r="J48" s="17">
        <f t="shared" si="7"/>
        <v>0</v>
      </c>
      <c r="K48" s="17">
        <f t="shared" si="8"/>
        <v>0</v>
      </c>
      <c r="L48" s="18">
        <f t="shared" si="9"/>
        <v>5250</v>
      </c>
      <c r="M48" s="30" t="s">
        <v>24</v>
      </c>
    </row>
    <row r="49" spans="1:13 16384:16384" ht="31.5">
      <c r="A49" s="128" t="s">
        <v>180</v>
      </c>
      <c r="B49" s="128" t="s">
        <v>161</v>
      </c>
      <c r="C49" s="128" t="s">
        <v>181</v>
      </c>
      <c r="D49" s="128" t="s">
        <v>118</v>
      </c>
      <c r="E49" s="127">
        <v>2.5</v>
      </c>
      <c r="F49" s="6">
        <v>2700</v>
      </c>
      <c r="G49" s="6">
        <v>2700</v>
      </c>
      <c r="H49" s="17">
        <f t="shared" si="5"/>
        <v>0</v>
      </c>
      <c r="I49" s="17">
        <f t="shared" si="6"/>
        <v>0</v>
      </c>
      <c r="J49" s="17">
        <f t="shared" si="7"/>
        <v>0</v>
      </c>
      <c r="K49" s="17">
        <f t="shared" si="8"/>
        <v>0</v>
      </c>
      <c r="L49" s="18">
        <f t="shared" si="9"/>
        <v>6750</v>
      </c>
      <c r="M49" s="30" t="s">
        <v>29</v>
      </c>
    </row>
    <row r="50" spans="1:13 16384:16384">
      <c r="A50" s="126" t="s">
        <v>182</v>
      </c>
      <c r="B50" s="126" t="s">
        <v>183</v>
      </c>
      <c r="C50" s="126" t="s">
        <v>184</v>
      </c>
      <c r="D50" s="126" t="s">
        <v>185</v>
      </c>
      <c r="E50" s="127">
        <v>53</v>
      </c>
      <c r="F50" s="6">
        <v>1800</v>
      </c>
      <c r="G50" s="6">
        <v>1800</v>
      </c>
      <c r="H50" s="17">
        <f t="shared" si="5"/>
        <v>0</v>
      </c>
      <c r="I50" s="17">
        <f t="shared" si="6"/>
        <v>0</v>
      </c>
      <c r="J50" s="17">
        <f t="shared" si="7"/>
        <v>0</v>
      </c>
      <c r="K50" s="17">
        <f t="shared" si="8"/>
        <v>0</v>
      </c>
      <c r="L50" s="18">
        <f t="shared" si="9"/>
        <v>95400</v>
      </c>
      <c r="M50" s="30" t="s">
        <v>19</v>
      </c>
    </row>
    <row r="51" spans="1:13 16384:16384">
      <c r="A51" s="126" t="s">
        <v>186</v>
      </c>
      <c r="B51" s="126" t="s">
        <v>183</v>
      </c>
      <c r="C51" s="126" t="s">
        <v>187</v>
      </c>
      <c r="D51" s="126" t="s">
        <v>185</v>
      </c>
      <c r="E51" s="127">
        <v>42</v>
      </c>
      <c r="F51" s="6">
        <v>1500</v>
      </c>
      <c r="G51" s="6">
        <v>1500</v>
      </c>
      <c r="H51" s="17">
        <f t="shared" si="5"/>
        <v>0</v>
      </c>
      <c r="I51" s="17">
        <f t="shared" si="6"/>
        <v>0</v>
      </c>
      <c r="J51" s="17">
        <f t="shared" si="7"/>
        <v>0</v>
      </c>
      <c r="K51" s="17">
        <f t="shared" si="8"/>
        <v>0</v>
      </c>
      <c r="L51" s="18">
        <f t="shared" si="9"/>
        <v>63000</v>
      </c>
      <c r="M51" s="30" t="s">
        <v>188</v>
      </c>
    </row>
    <row r="52" spans="1:13 16384:16384">
      <c r="A52" s="126"/>
      <c r="B52" s="126" t="s">
        <v>183</v>
      </c>
      <c r="C52" s="126" t="s">
        <v>189</v>
      </c>
      <c r="D52" s="126" t="s">
        <v>190</v>
      </c>
      <c r="E52" s="127">
        <v>1100</v>
      </c>
      <c r="F52" s="6">
        <v>60</v>
      </c>
      <c r="G52" s="6">
        <v>60</v>
      </c>
      <c r="H52" s="17">
        <f t="shared" si="5"/>
        <v>0</v>
      </c>
      <c r="I52" s="17">
        <f t="shared" si="6"/>
        <v>0</v>
      </c>
      <c r="J52" s="17">
        <f t="shared" si="7"/>
        <v>0</v>
      </c>
      <c r="K52" s="17">
        <f t="shared" si="8"/>
        <v>0</v>
      </c>
      <c r="L52" s="18">
        <f t="shared" si="9"/>
        <v>66000</v>
      </c>
      <c r="M52" s="30" t="s">
        <v>139</v>
      </c>
    </row>
    <row r="53" spans="1:13 16384:16384" ht="31.5">
      <c r="A53" s="126" t="s">
        <v>191</v>
      </c>
      <c r="B53" s="129" t="s">
        <v>192</v>
      </c>
      <c r="C53" s="126" t="s">
        <v>193</v>
      </c>
      <c r="D53" s="126" t="s">
        <v>118</v>
      </c>
      <c r="E53" s="127">
        <v>0.55000000000000004</v>
      </c>
      <c r="F53" s="6">
        <v>2500</v>
      </c>
      <c r="G53" s="6">
        <v>2500</v>
      </c>
      <c r="H53" s="17">
        <f t="shared" ref="H53:H61" si="10">F53-G53</f>
        <v>0</v>
      </c>
      <c r="I53" s="17">
        <f t="shared" ref="I53:I61" si="11">E53*H53</f>
        <v>0</v>
      </c>
      <c r="J53" s="17">
        <f t="shared" ref="J53:J61" si="12">G53-F53</f>
        <v>0</v>
      </c>
      <c r="K53" s="17">
        <f t="shared" ref="K53:K61" si="13">E53*J53</f>
        <v>0</v>
      </c>
      <c r="L53" s="18">
        <f t="shared" ref="L53:L61" si="14">E53*G53</f>
        <v>1375</v>
      </c>
      <c r="M53" s="30" t="s">
        <v>69</v>
      </c>
    </row>
    <row r="54" spans="1:13 16384:16384" ht="31.5">
      <c r="A54" s="133" t="s">
        <v>194</v>
      </c>
      <c r="B54" s="134" t="s">
        <v>195</v>
      </c>
      <c r="C54" s="133" t="s">
        <v>196</v>
      </c>
      <c r="D54" s="133" t="s">
        <v>118</v>
      </c>
      <c r="E54" s="21">
        <v>2</v>
      </c>
      <c r="F54" s="6">
        <v>2700</v>
      </c>
      <c r="G54" s="6">
        <v>2700</v>
      </c>
      <c r="H54" s="17">
        <f t="shared" si="10"/>
        <v>0</v>
      </c>
      <c r="I54" s="17">
        <f t="shared" si="11"/>
        <v>0</v>
      </c>
      <c r="J54" s="17">
        <f t="shared" si="12"/>
        <v>0</v>
      </c>
      <c r="K54" s="17">
        <f t="shared" si="13"/>
        <v>0</v>
      </c>
      <c r="L54" s="18">
        <f t="shared" si="14"/>
        <v>5400</v>
      </c>
      <c r="M54" s="30" t="s">
        <v>197</v>
      </c>
    </row>
    <row r="55" spans="1:13 16384:16384" ht="31.5">
      <c r="A55" s="126" t="s">
        <v>198</v>
      </c>
      <c r="B55" s="129" t="s">
        <v>195</v>
      </c>
      <c r="C55" s="126" t="s">
        <v>199</v>
      </c>
      <c r="D55" s="126" t="s">
        <v>56</v>
      </c>
      <c r="E55" s="21">
        <v>25</v>
      </c>
      <c r="F55" s="6">
        <v>3100</v>
      </c>
      <c r="G55" s="6">
        <v>3100</v>
      </c>
      <c r="H55" s="17">
        <f t="shared" si="10"/>
        <v>0</v>
      </c>
      <c r="I55" s="17">
        <f t="shared" si="11"/>
        <v>0</v>
      </c>
      <c r="J55" s="17">
        <f t="shared" si="12"/>
        <v>0</v>
      </c>
      <c r="K55" s="17">
        <f t="shared" si="13"/>
        <v>0</v>
      </c>
      <c r="L55" s="18">
        <f t="shared" si="14"/>
        <v>77500</v>
      </c>
      <c r="M55" s="30" t="s">
        <v>200</v>
      </c>
    </row>
    <row r="56" spans="1:13 16384:16384" ht="31.5">
      <c r="A56" s="135" t="s">
        <v>201</v>
      </c>
      <c r="B56" s="136" t="s">
        <v>202</v>
      </c>
      <c r="C56" s="135" t="s">
        <v>203</v>
      </c>
      <c r="D56" s="136" t="s">
        <v>190</v>
      </c>
      <c r="E56" s="21">
        <v>78.099999999999994</v>
      </c>
      <c r="F56" s="6">
        <v>1040</v>
      </c>
      <c r="G56" s="6">
        <v>1040</v>
      </c>
      <c r="H56" s="17">
        <f t="shared" si="10"/>
        <v>0</v>
      </c>
      <c r="I56" s="17">
        <f t="shared" si="11"/>
        <v>0</v>
      </c>
      <c r="J56" s="17">
        <f t="shared" si="12"/>
        <v>0</v>
      </c>
      <c r="K56" s="17">
        <f t="shared" si="13"/>
        <v>0</v>
      </c>
      <c r="L56" s="18">
        <f t="shared" si="14"/>
        <v>81224</v>
      </c>
      <c r="M56" s="30" t="s">
        <v>29</v>
      </c>
    </row>
    <row r="57" spans="1:13 16384:16384">
      <c r="A57" s="126" t="s">
        <v>204</v>
      </c>
      <c r="B57" s="126" t="s">
        <v>205</v>
      </c>
      <c r="C57" s="126" t="s">
        <v>206</v>
      </c>
      <c r="D57" s="129" t="s">
        <v>207</v>
      </c>
      <c r="E57" s="21">
        <v>170.77</v>
      </c>
      <c r="F57" s="6">
        <v>300</v>
      </c>
      <c r="G57" s="6">
        <v>300</v>
      </c>
      <c r="H57" s="17">
        <f t="shared" si="10"/>
        <v>0</v>
      </c>
      <c r="I57" s="17">
        <f t="shared" si="11"/>
        <v>0</v>
      </c>
      <c r="J57" s="17">
        <f t="shared" si="12"/>
        <v>0</v>
      </c>
      <c r="K57" s="17">
        <f t="shared" si="13"/>
        <v>0</v>
      </c>
      <c r="L57" s="18">
        <f t="shared" si="14"/>
        <v>51231</v>
      </c>
      <c r="M57" s="30" t="s">
        <v>188</v>
      </c>
    </row>
    <row r="58" spans="1:13 16384:16384" ht="31.5">
      <c r="A58" s="126" t="s">
        <v>208</v>
      </c>
      <c r="B58" s="126" t="s">
        <v>209</v>
      </c>
      <c r="C58" s="126" t="s">
        <v>210</v>
      </c>
      <c r="D58" s="126" t="s">
        <v>118</v>
      </c>
      <c r="E58" s="21">
        <v>75.41</v>
      </c>
      <c r="F58" s="6">
        <v>300</v>
      </c>
      <c r="G58" s="6">
        <v>300</v>
      </c>
      <c r="H58" s="17">
        <f t="shared" si="10"/>
        <v>0</v>
      </c>
      <c r="I58" s="17">
        <f t="shared" si="11"/>
        <v>0</v>
      </c>
      <c r="J58" s="17">
        <f t="shared" si="12"/>
        <v>0</v>
      </c>
      <c r="K58" s="17">
        <f t="shared" si="13"/>
        <v>0</v>
      </c>
      <c r="L58" s="18">
        <f t="shared" si="14"/>
        <v>22623</v>
      </c>
      <c r="M58" s="30" t="s">
        <v>211</v>
      </c>
    </row>
    <row r="59" spans="1:13 16384:16384" ht="31.5">
      <c r="A59" s="126" t="s">
        <v>212</v>
      </c>
      <c r="B59" s="129" t="s">
        <v>213</v>
      </c>
      <c r="C59" s="126" t="s">
        <v>214</v>
      </c>
      <c r="D59" s="126" t="s">
        <v>215</v>
      </c>
      <c r="E59" s="21">
        <v>165</v>
      </c>
      <c r="F59" s="6">
        <v>50</v>
      </c>
      <c r="G59" s="6">
        <v>50</v>
      </c>
      <c r="H59" s="17">
        <f t="shared" si="10"/>
        <v>0</v>
      </c>
      <c r="I59" s="17">
        <f t="shared" si="11"/>
        <v>0</v>
      </c>
      <c r="J59" s="17">
        <f t="shared" si="12"/>
        <v>0</v>
      </c>
      <c r="K59" s="17">
        <f t="shared" si="13"/>
        <v>0</v>
      </c>
      <c r="L59" s="18">
        <f t="shared" si="14"/>
        <v>8250</v>
      </c>
      <c r="M59" s="30" t="s">
        <v>211</v>
      </c>
    </row>
    <row r="60" spans="1:13 16384:16384" ht="31.5">
      <c r="A60" s="126" t="s">
        <v>216</v>
      </c>
      <c r="B60" s="129" t="s">
        <v>217</v>
      </c>
      <c r="C60" s="126" t="s">
        <v>218</v>
      </c>
      <c r="D60" s="126" t="s">
        <v>118</v>
      </c>
      <c r="E60" s="21">
        <v>0.75</v>
      </c>
      <c r="F60" s="6">
        <v>1540</v>
      </c>
      <c r="G60" s="6">
        <v>1540</v>
      </c>
      <c r="H60" s="17">
        <f t="shared" si="10"/>
        <v>0</v>
      </c>
      <c r="I60" s="17">
        <f t="shared" si="11"/>
        <v>0</v>
      </c>
      <c r="J60" s="17">
        <f t="shared" si="12"/>
        <v>0</v>
      </c>
      <c r="K60" s="17">
        <f t="shared" si="13"/>
        <v>0</v>
      </c>
      <c r="L60" s="18">
        <f t="shared" si="14"/>
        <v>1155</v>
      </c>
      <c r="M60" s="30" t="s">
        <v>19</v>
      </c>
    </row>
    <row r="61" spans="1:13 16384:16384">
      <c r="A61" s="126" t="s">
        <v>219</v>
      </c>
      <c r="B61" s="129" t="s">
        <v>220</v>
      </c>
      <c r="C61" s="137" t="s">
        <v>221</v>
      </c>
      <c r="D61" s="138" t="s">
        <v>222</v>
      </c>
      <c r="E61" s="21">
        <v>10</v>
      </c>
      <c r="F61" s="6">
        <v>2632</v>
      </c>
      <c r="G61" s="6">
        <v>2632</v>
      </c>
      <c r="H61" s="17">
        <f t="shared" si="10"/>
        <v>0</v>
      </c>
      <c r="I61" s="17">
        <f t="shared" si="11"/>
        <v>0</v>
      </c>
      <c r="J61" s="17">
        <f t="shared" si="12"/>
        <v>0</v>
      </c>
      <c r="K61" s="17">
        <f t="shared" si="13"/>
        <v>0</v>
      </c>
      <c r="L61" s="18">
        <f t="shared" si="14"/>
        <v>26320</v>
      </c>
      <c r="M61" s="30" t="s">
        <v>19</v>
      </c>
    </row>
    <row r="62" spans="1:13 16384:16384" ht="31.5">
      <c r="A62" s="126" t="s">
        <v>223</v>
      </c>
      <c r="B62" s="129" t="s">
        <v>224</v>
      </c>
      <c r="C62" s="126" t="s">
        <v>225</v>
      </c>
      <c r="D62" s="126" t="s">
        <v>118</v>
      </c>
      <c r="E62" s="21">
        <v>1.3</v>
      </c>
      <c r="F62" s="6">
        <v>2464</v>
      </c>
      <c r="G62" s="6">
        <v>2464</v>
      </c>
      <c r="H62" s="17">
        <f t="shared" ref="H62" si="15">F62-G62</f>
        <v>0</v>
      </c>
      <c r="I62" s="17">
        <f t="shared" ref="I62" si="16">E62*H62</f>
        <v>0</v>
      </c>
      <c r="J62" s="17">
        <f t="shared" ref="J62" si="17">G62-F62</f>
        <v>0</v>
      </c>
      <c r="K62" s="17">
        <f t="shared" ref="K62" si="18">E62*J62</f>
        <v>0</v>
      </c>
      <c r="L62" s="18">
        <f t="shared" ref="L62" si="19">E62*G62</f>
        <v>3203.2</v>
      </c>
      <c r="M62" s="30" t="s">
        <v>69</v>
      </c>
      <c r="XFD62" s="139">
        <f>SUM(E62:XFC62)</f>
        <v>8132.5</v>
      </c>
    </row>
    <row r="63" spans="1:13 16384:16384">
      <c r="A63" s="126" t="s">
        <v>226</v>
      </c>
      <c r="B63" s="126" t="s">
        <v>227</v>
      </c>
      <c r="C63" s="126" t="s">
        <v>228</v>
      </c>
      <c r="D63" s="129" t="s">
        <v>152</v>
      </c>
      <c r="E63" s="21">
        <v>445</v>
      </c>
      <c r="F63" s="6">
        <v>500</v>
      </c>
      <c r="G63" s="6">
        <v>500</v>
      </c>
      <c r="H63" s="17">
        <f t="shared" ref="H63:H75" si="20">F63-G63</f>
        <v>0</v>
      </c>
      <c r="I63" s="17">
        <f t="shared" ref="I63:I75" si="21">E63*H63</f>
        <v>0</v>
      </c>
      <c r="J63" s="17">
        <f t="shared" ref="J63:J75" si="22">G63-F63</f>
        <v>0</v>
      </c>
      <c r="K63" s="17">
        <f t="shared" ref="K63:K75" si="23">E63*J63</f>
        <v>0</v>
      </c>
      <c r="L63" s="18">
        <f t="shared" ref="L63:L75" si="24">E63*G63</f>
        <v>222500</v>
      </c>
      <c r="M63" s="30" t="s">
        <v>52</v>
      </c>
    </row>
    <row r="64" spans="1:13 16384:16384" ht="31.5">
      <c r="A64" s="126" t="s">
        <v>229</v>
      </c>
      <c r="B64" s="129" t="s">
        <v>230</v>
      </c>
      <c r="C64" s="126" t="s">
        <v>133</v>
      </c>
      <c r="D64" s="126" t="s">
        <v>118</v>
      </c>
      <c r="E64" s="21">
        <v>1.24</v>
      </c>
      <c r="F64" s="6">
        <v>6000</v>
      </c>
      <c r="G64" s="6">
        <v>6000</v>
      </c>
      <c r="H64" s="17">
        <f t="shared" si="20"/>
        <v>0</v>
      </c>
      <c r="I64" s="17">
        <f t="shared" si="21"/>
        <v>0</v>
      </c>
      <c r="J64" s="17">
        <f t="shared" si="22"/>
        <v>0</v>
      </c>
      <c r="K64" s="17">
        <f t="shared" si="23"/>
        <v>0</v>
      </c>
      <c r="L64" s="18">
        <f t="shared" si="24"/>
        <v>7440</v>
      </c>
      <c r="M64" s="30" t="s">
        <v>69</v>
      </c>
    </row>
    <row r="65" spans="1:13">
      <c r="A65" s="126" t="s">
        <v>231</v>
      </c>
      <c r="B65" s="129" t="s">
        <v>230</v>
      </c>
      <c r="C65" s="126" t="s">
        <v>232</v>
      </c>
      <c r="D65" s="126" t="s">
        <v>233</v>
      </c>
      <c r="E65" s="21">
        <v>9</v>
      </c>
      <c r="F65" s="6">
        <v>3100</v>
      </c>
      <c r="G65" s="6">
        <v>3100</v>
      </c>
      <c r="H65" s="17">
        <f t="shared" si="20"/>
        <v>0</v>
      </c>
      <c r="I65" s="17">
        <f t="shared" si="21"/>
        <v>0</v>
      </c>
      <c r="J65" s="17">
        <f t="shared" si="22"/>
        <v>0</v>
      </c>
      <c r="K65" s="17">
        <f t="shared" si="23"/>
        <v>0</v>
      </c>
      <c r="L65" s="18">
        <f t="shared" si="24"/>
        <v>27900</v>
      </c>
      <c r="M65" s="30" t="s">
        <v>234</v>
      </c>
    </row>
    <row r="66" spans="1:13" ht="31.5">
      <c r="A66" s="128" t="s">
        <v>235</v>
      </c>
      <c r="B66" s="128" t="s">
        <v>236</v>
      </c>
      <c r="C66" s="128" t="s">
        <v>237</v>
      </c>
      <c r="D66" s="128" t="s">
        <v>118</v>
      </c>
      <c r="E66" s="21">
        <v>3.5</v>
      </c>
      <c r="F66" s="6">
        <v>6500</v>
      </c>
      <c r="G66" s="6">
        <v>6500</v>
      </c>
      <c r="H66" s="17">
        <f t="shared" si="20"/>
        <v>0</v>
      </c>
      <c r="I66" s="17">
        <f t="shared" si="21"/>
        <v>0</v>
      </c>
      <c r="J66" s="17">
        <f t="shared" si="22"/>
        <v>0</v>
      </c>
      <c r="K66" s="17">
        <f t="shared" si="23"/>
        <v>0</v>
      </c>
      <c r="L66" s="18">
        <f t="shared" si="24"/>
        <v>22750</v>
      </c>
      <c r="M66" s="30" t="s">
        <v>119</v>
      </c>
    </row>
    <row r="67" spans="1:13" ht="31.5">
      <c r="A67" s="128" t="s">
        <v>238</v>
      </c>
      <c r="B67" s="128" t="s">
        <v>239</v>
      </c>
      <c r="C67" s="128" t="s">
        <v>240</v>
      </c>
      <c r="D67" s="128" t="s">
        <v>241</v>
      </c>
      <c r="E67" s="21">
        <v>420</v>
      </c>
      <c r="F67" s="6">
        <v>760</v>
      </c>
      <c r="G67" s="6">
        <v>760</v>
      </c>
      <c r="H67" s="17">
        <f t="shared" si="20"/>
        <v>0</v>
      </c>
      <c r="I67" s="17">
        <f t="shared" si="21"/>
        <v>0</v>
      </c>
      <c r="J67" s="17">
        <f t="shared" si="22"/>
        <v>0</v>
      </c>
      <c r="K67" s="17">
        <f t="shared" si="23"/>
        <v>0</v>
      </c>
      <c r="L67" s="18">
        <f t="shared" si="24"/>
        <v>319200</v>
      </c>
      <c r="M67" s="30">
        <v>46357</v>
      </c>
    </row>
    <row r="68" spans="1:13" ht="31.5">
      <c r="A68" s="126" t="s">
        <v>242</v>
      </c>
      <c r="B68" s="126" t="s">
        <v>239</v>
      </c>
      <c r="C68" s="126" t="s">
        <v>240</v>
      </c>
      <c r="D68" s="126" t="s">
        <v>243</v>
      </c>
      <c r="E68" s="21">
        <v>548.37</v>
      </c>
      <c r="F68" s="6">
        <v>730</v>
      </c>
      <c r="G68" s="6">
        <v>730</v>
      </c>
      <c r="H68" s="17">
        <f t="shared" si="20"/>
        <v>0</v>
      </c>
      <c r="I68" s="17">
        <f t="shared" si="21"/>
        <v>0</v>
      </c>
      <c r="J68" s="17">
        <f t="shared" si="22"/>
        <v>0</v>
      </c>
      <c r="K68" s="17">
        <f t="shared" si="23"/>
        <v>0</v>
      </c>
      <c r="L68" s="18">
        <f t="shared" si="24"/>
        <v>400310.1</v>
      </c>
      <c r="M68" s="30">
        <v>46388</v>
      </c>
    </row>
    <row r="69" spans="1:13" ht="31.5">
      <c r="A69" s="126" t="s">
        <v>244</v>
      </c>
      <c r="B69" s="129" t="s">
        <v>245</v>
      </c>
      <c r="C69" s="126" t="s">
        <v>246</v>
      </c>
      <c r="D69" s="129" t="s">
        <v>247</v>
      </c>
      <c r="E69" s="21">
        <v>395</v>
      </c>
      <c r="F69" s="6">
        <v>520</v>
      </c>
      <c r="G69" s="6">
        <v>520</v>
      </c>
      <c r="H69" s="17">
        <f t="shared" si="20"/>
        <v>0</v>
      </c>
      <c r="I69" s="17">
        <f t="shared" si="21"/>
        <v>0</v>
      </c>
      <c r="J69" s="17">
        <f t="shared" si="22"/>
        <v>0</v>
      </c>
      <c r="K69" s="17">
        <f t="shared" si="23"/>
        <v>0</v>
      </c>
      <c r="L69" s="18">
        <f t="shared" si="24"/>
        <v>205400</v>
      </c>
      <c r="M69" s="30" t="s">
        <v>69</v>
      </c>
    </row>
    <row r="70" spans="1:13">
      <c r="A70" s="126" t="s">
        <v>248</v>
      </c>
      <c r="B70" s="126" t="s">
        <v>249</v>
      </c>
      <c r="C70" s="126" t="s">
        <v>240</v>
      </c>
      <c r="D70" s="126" t="s">
        <v>250</v>
      </c>
      <c r="E70" s="21">
        <v>59</v>
      </c>
      <c r="F70" s="6">
        <v>500</v>
      </c>
      <c r="G70" s="6">
        <v>500</v>
      </c>
      <c r="H70" s="17">
        <f t="shared" si="20"/>
        <v>0</v>
      </c>
      <c r="I70" s="17">
        <f t="shared" si="21"/>
        <v>0</v>
      </c>
      <c r="J70" s="17">
        <f t="shared" si="22"/>
        <v>0</v>
      </c>
      <c r="K70" s="17">
        <f t="shared" si="23"/>
        <v>0</v>
      </c>
      <c r="L70" s="18">
        <f t="shared" si="24"/>
        <v>29500</v>
      </c>
      <c r="M70" s="30" t="s">
        <v>139</v>
      </c>
    </row>
    <row r="71" spans="1:13" ht="31.5">
      <c r="A71" s="126" t="s">
        <v>251</v>
      </c>
      <c r="B71" s="129" t="s">
        <v>252</v>
      </c>
      <c r="C71" s="126" t="s">
        <v>253</v>
      </c>
      <c r="D71" s="126" t="s">
        <v>84</v>
      </c>
      <c r="E71" s="21">
        <v>320</v>
      </c>
      <c r="F71" s="6">
        <v>30</v>
      </c>
      <c r="G71" s="6">
        <v>30</v>
      </c>
      <c r="H71" s="17">
        <f t="shared" si="20"/>
        <v>0</v>
      </c>
      <c r="I71" s="17">
        <f t="shared" si="21"/>
        <v>0</v>
      </c>
      <c r="J71" s="17">
        <f t="shared" si="22"/>
        <v>0</v>
      </c>
      <c r="K71" s="17">
        <f t="shared" si="23"/>
        <v>0</v>
      </c>
      <c r="L71" s="18">
        <f t="shared" si="24"/>
        <v>9600</v>
      </c>
      <c r="M71" s="30" t="s">
        <v>124</v>
      </c>
    </row>
    <row r="72" spans="1:13">
      <c r="A72" s="126" t="s">
        <v>254</v>
      </c>
      <c r="B72" s="129" t="s">
        <v>255</v>
      </c>
      <c r="C72" s="126" t="s">
        <v>256</v>
      </c>
      <c r="D72" s="126" t="s">
        <v>257</v>
      </c>
      <c r="E72" s="21">
        <v>446</v>
      </c>
      <c r="F72" s="6">
        <v>300</v>
      </c>
      <c r="G72" s="6">
        <v>300</v>
      </c>
      <c r="H72" s="17">
        <f t="shared" si="20"/>
        <v>0</v>
      </c>
      <c r="I72" s="17">
        <f t="shared" si="21"/>
        <v>0</v>
      </c>
      <c r="J72" s="17">
        <f t="shared" si="22"/>
        <v>0</v>
      </c>
      <c r="K72" s="17">
        <f t="shared" si="23"/>
        <v>0</v>
      </c>
      <c r="L72" s="18">
        <f t="shared" si="24"/>
        <v>133800</v>
      </c>
      <c r="M72" s="30" t="s">
        <v>19</v>
      </c>
    </row>
    <row r="73" spans="1:13" ht="31.5">
      <c r="A73" s="126" t="s">
        <v>258</v>
      </c>
      <c r="B73" s="126" t="s">
        <v>259</v>
      </c>
      <c r="C73" s="126" t="s">
        <v>260</v>
      </c>
      <c r="D73" s="126" t="s">
        <v>118</v>
      </c>
      <c r="E73" s="21">
        <v>0.48</v>
      </c>
      <c r="F73" s="6">
        <v>3000</v>
      </c>
      <c r="G73" s="6">
        <v>3000</v>
      </c>
      <c r="H73" s="17">
        <f t="shared" si="20"/>
        <v>0</v>
      </c>
      <c r="I73" s="17">
        <f t="shared" si="21"/>
        <v>0</v>
      </c>
      <c r="J73" s="17">
        <f t="shared" si="22"/>
        <v>0</v>
      </c>
      <c r="K73" s="17">
        <f t="shared" si="23"/>
        <v>0</v>
      </c>
      <c r="L73" s="18">
        <f t="shared" si="24"/>
        <v>1440</v>
      </c>
      <c r="M73" s="30" t="s">
        <v>111</v>
      </c>
    </row>
    <row r="74" spans="1:13" ht="31.5">
      <c r="A74" s="126" t="s">
        <v>261</v>
      </c>
      <c r="B74" s="126" t="s">
        <v>262</v>
      </c>
      <c r="C74" s="126" t="s">
        <v>263</v>
      </c>
      <c r="D74" s="126" t="s">
        <v>118</v>
      </c>
      <c r="E74" s="21">
        <v>5.2</v>
      </c>
      <c r="F74" s="6">
        <v>112</v>
      </c>
      <c r="G74" s="6">
        <v>112</v>
      </c>
      <c r="H74" s="17">
        <f t="shared" si="20"/>
        <v>0</v>
      </c>
      <c r="I74" s="17">
        <f t="shared" si="21"/>
        <v>0</v>
      </c>
      <c r="J74" s="17">
        <f t="shared" si="22"/>
        <v>0</v>
      </c>
      <c r="K74" s="17">
        <f t="shared" si="23"/>
        <v>0</v>
      </c>
      <c r="L74" s="18">
        <f t="shared" si="24"/>
        <v>582.4</v>
      </c>
      <c r="M74" s="30" t="s">
        <v>119</v>
      </c>
    </row>
    <row r="75" spans="1:13" ht="31.5">
      <c r="A75" s="128" t="s">
        <v>264</v>
      </c>
      <c r="B75" s="130" t="s">
        <v>265</v>
      </c>
      <c r="C75" s="128" t="s">
        <v>266</v>
      </c>
      <c r="D75" s="128" t="s">
        <v>61</v>
      </c>
      <c r="E75" s="21">
        <v>1850</v>
      </c>
      <c r="F75" s="6">
        <v>70</v>
      </c>
      <c r="G75" s="6">
        <v>70</v>
      </c>
      <c r="H75" s="17">
        <f t="shared" si="20"/>
        <v>0</v>
      </c>
      <c r="I75" s="17">
        <f t="shared" si="21"/>
        <v>0</v>
      </c>
      <c r="J75" s="17">
        <f t="shared" si="22"/>
        <v>0</v>
      </c>
      <c r="K75" s="17">
        <f t="shared" si="23"/>
        <v>0</v>
      </c>
      <c r="L75" s="18">
        <f t="shared" si="24"/>
        <v>129500</v>
      </c>
      <c r="M75" s="30" t="s">
        <v>166</v>
      </c>
    </row>
    <row r="76" spans="1:13">
      <c r="A76" s="128" t="s">
        <v>267</v>
      </c>
      <c r="B76" s="128" t="s">
        <v>268</v>
      </c>
      <c r="C76" s="128" t="s">
        <v>133</v>
      </c>
      <c r="D76" s="128" t="s">
        <v>185</v>
      </c>
      <c r="E76" s="21">
        <v>2.2000000000000002</v>
      </c>
      <c r="F76" s="6">
        <v>900</v>
      </c>
      <c r="G76" s="6">
        <v>900</v>
      </c>
      <c r="H76" s="17">
        <f t="shared" ref="H76:H89" si="25">F76-G76</f>
        <v>0</v>
      </c>
      <c r="I76" s="17">
        <f t="shared" ref="I76:I89" si="26">E76*H76</f>
        <v>0</v>
      </c>
      <c r="J76" s="17">
        <f t="shared" ref="J76:J89" si="27">G76-F76</f>
        <v>0</v>
      </c>
      <c r="K76" s="17">
        <f t="shared" ref="K76:K89" si="28">E76*J76</f>
        <v>0</v>
      </c>
      <c r="L76" s="18">
        <f t="shared" ref="L76:L89" si="29">E76*G76</f>
        <v>1980</v>
      </c>
      <c r="M76" s="30" t="s">
        <v>78</v>
      </c>
    </row>
    <row r="77" spans="1:13" ht="31.5">
      <c r="A77" s="128" t="s">
        <v>269</v>
      </c>
      <c r="B77" s="128" t="s">
        <v>270</v>
      </c>
      <c r="C77" s="128" t="s">
        <v>271</v>
      </c>
      <c r="D77" s="128" t="s">
        <v>185</v>
      </c>
      <c r="E77" s="21">
        <v>8</v>
      </c>
      <c r="F77" s="6">
        <v>3000</v>
      </c>
      <c r="G77" s="6">
        <v>3000</v>
      </c>
      <c r="H77" s="17">
        <f t="shared" si="25"/>
        <v>0</v>
      </c>
      <c r="I77" s="17">
        <f t="shared" si="26"/>
        <v>0</v>
      </c>
      <c r="J77" s="17">
        <f t="shared" si="27"/>
        <v>0</v>
      </c>
      <c r="K77" s="17">
        <f t="shared" si="28"/>
        <v>0</v>
      </c>
      <c r="L77" s="18">
        <f t="shared" si="29"/>
        <v>24000</v>
      </c>
      <c r="M77" s="30" t="s">
        <v>48</v>
      </c>
    </row>
    <row r="78" spans="1:13" ht="31.5">
      <c r="A78" s="126" t="s">
        <v>272</v>
      </c>
      <c r="B78" s="126" t="s">
        <v>273</v>
      </c>
      <c r="C78" s="126" t="s">
        <v>274</v>
      </c>
      <c r="D78" s="126" t="s">
        <v>118</v>
      </c>
      <c r="E78" s="127">
        <v>33</v>
      </c>
      <c r="F78" s="6">
        <v>1530</v>
      </c>
      <c r="G78" s="6">
        <v>1530</v>
      </c>
      <c r="H78" s="17">
        <f t="shared" si="25"/>
        <v>0</v>
      </c>
      <c r="I78" s="17">
        <f t="shared" si="26"/>
        <v>0</v>
      </c>
      <c r="J78" s="17">
        <f t="shared" si="27"/>
        <v>0</v>
      </c>
      <c r="K78" s="17">
        <f t="shared" si="28"/>
        <v>0</v>
      </c>
      <c r="L78" s="18">
        <f t="shared" si="29"/>
        <v>50490</v>
      </c>
      <c r="M78" s="30" t="s">
        <v>159</v>
      </c>
    </row>
    <row r="79" spans="1:13" ht="63">
      <c r="A79" s="126" t="s">
        <v>275</v>
      </c>
      <c r="B79" s="126" t="s">
        <v>276</v>
      </c>
      <c r="C79" s="126" t="s">
        <v>277</v>
      </c>
      <c r="D79" s="129" t="s">
        <v>190</v>
      </c>
      <c r="E79" s="127">
        <v>95</v>
      </c>
      <c r="F79" s="6">
        <v>2230</v>
      </c>
      <c r="G79" s="6">
        <v>2230</v>
      </c>
      <c r="H79" s="17">
        <f t="shared" si="25"/>
        <v>0</v>
      </c>
      <c r="I79" s="17">
        <f t="shared" si="26"/>
        <v>0</v>
      </c>
      <c r="J79" s="17">
        <f t="shared" si="27"/>
        <v>0</v>
      </c>
      <c r="K79" s="17">
        <f t="shared" si="28"/>
        <v>0</v>
      </c>
      <c r="L79" s="18">
        <f t="shared" si="29"/>
        <v>211850</v>
      </c>
      <c r="M79" s="30" t="s">
        <v>24</v>
      </c>
    </row>
    <row r="80" spans="1:13" ht="47.25">
      <c r="A80" s="128" t="s">
        <v>278</v>
      </c>
      <c r="B80" s="128" t="s">
        <v>276</v>
      </c>
      <c r="C80" s="128" t="s">
        <v>279</v>
      </c>
      <c r="D80" s="128" t="s">
        <v>118</v>
      </c>
      <c r="E80" s="127">
        <v>12</v>
      </c>
      <c r="F80" s="6">
        <v>4400</v>
      </c>
      <c r="G80" s="6">
        <v>4400</v>
      </c>
      <c r="H80" s="17">
        <f t="shared" si="25"/>
        <v>0</v>
      </c>
      <c r="I80" s="17">
        <f t="shared" si="26"/>
        <v>0</v>
      </c>
      <c r="J80" s="17">
        <f t="shared" si="27"/>
        <v>0</v>
      </c>
      <c r="K80" s="17">
        <f t="shared" si="28"/>
        <v>0</v>
      </c>
      <c r="L80" s="18">
        <f t="shared" si="29"/>
        <v>52800</v>
      </c>
      <c r="M80" s="30" t="s">
        <v>159</v>
      </c>
    </row>
    <row r="81" spans="1:13" ht="47.25">
      <c r="A81" s="128" t="s">
        <v>280</v>
      </c>
      <c r="B81" s="128" t="s">
        <v>276</v>
      </c>
      <c r="C81" s="128" t="s">
        <v>281</v>
      </c>
      <c r="D81" s="130" t="s">
        <v>185</v>
      </c>
      <c r="E81" s="127">
        <v>11</v>
      </c>
      <c r="F81" s="6">
        <v>6200</v>
      </c>
      <c r="G81" s="6">
        <v>6200</v>
      </c>
      <c r="H81" s="17">
        <f t="shared" si="25"/>
        <v>0</v>
      </c>
      <c r="I81" s="17">
        <f t="shared" si="26"/>
        <v>0</v>
      </c>
      <c r="J81" s="17">
        <f t="shared" si="27"/>
        <v>0</v>
      </c>
      <c r="K81" s="17">
        <f t="shared" si="28"/>
        <v>0</v>
      </c>
      <c r="L81" s="18">
        <f t="shared" si="29"/>
        <v>68200</v>
      </c>
      <c r="M81" s="30" t="s">
        <v>159</v>
      </c>
    </row>
    <row r="82" spans="1:13" ht="31.5">
      <c r="A82" s="126" t="s">
        <v>282</v>
      </c>
      <c r="B82" s="129" t="s">
        <v>283</v>
      </c>
      <c r="C82" s="126" t="s">
        <v>284</v>
      </c>
      <c r="D82" s="126" t="s">
        <v>84</v>
      </c>
      <c r="E82" s="127">
        <v>140</v>
      </c>
      <c r="F82" s="6">
        <v>220</v>
      </c>
      <c r="G82" s="6">
        <v>220</v>
      </c>
      <c r="H82" s="17">
        <f t="shared" si="25"/>
        <v>0</v>
      </c>
      <c r="I82" s="17">
        <f t="shared" si="26"/>
        <v>0</v>
      </c>
      <c r="J82" s="17">
        <f t="shared" si="27"/>
        <v>0</v>
      </c>
      <c r="K82" s="17">
        <f t="shared" si="28"/>
        <v>0</v>
      </c>
      <c r="L82" s="18">
        <f t="shared" si="29"/>
        <v>30800</v>
      </c>
      <c r="M82" s="30" t="s">
        <v>188</v>
      </c>
    </row>
    <row r="83" spans="1:13" ht="31.5">
      <c r="A83" s="126" t="s">
        <v>285</v>
      </c>
      <c r="B83" s="126" t="s">
        <v>286</v>
      </c>
      <c r="C83" s="126" t="s">
        <v>287</v>
      </c>
      <c r="D83" s="126" t="s">
        <v>288</v>
      </c>
      <c r="E83" s="127">
        <v>23</v>
      </c>
      <c r="F83" s="6">
        <v>330</v>
      </c>
      <c r="G83" s="6">
        <v>330</v>
      </c>
      <c r="H83" s="17">
        <f t="shared" si="25"/>
        <v>0</v>
      </c>
      <c r="I83" s="17">
        <f t="shared" si="26"/>
        <v>0</v>
      </c>
      <c r="J83" s="17">
        <f t="shared" si="27"/>
        <v>0</v>
      </c>
      <c r="K83" s="17">
        <f t="shared" si="28"/>
        <v>0</v>
      </c>
      <c r="L83" s="18">
        <f t="shared" si="29"/>
        <v>7590</v>
      </c>
      <c r="M83" s="30" t="s">
        <v>289</v>
      </c>
    </row>
    <row r="84" spans="1:13" ht="31.5">
      <c r="A84" s="126" t="s">
        <v>290</v>
      </c>
      <c r="B84" s="126" t="s">
        <v>286</v>
      </c>
      <c r="C84" s="126" t="s">
        <v>291</v>
      </c>
      <c r="D84" s="126" t="s">
        <v>292</v>
      </c>
      <c r="E84" s="127">
        <v>89</v>
      </c>
      <c r="F84" s="6">
        <v>285</v>
      </c>
      <c r="G84" s="6">
        <v>285</v>
      </c>
      <c r="H84" s="17">
        <f t="shared" si="25"/>
        <v>0</v>
      </c>
      <c r="I84" s="17">
        <f t="shared" si="26"/>
        <v>0</v>
      </c>
      <c r="J84" s="17">
        <f t="shared" si="27"/>
        <v>0</v>
      </c>
      <c r="K84" s="17">
        <f t="shared" si="28"/>
        <v>0</v>
      </c>
      <c r="L84" s="18">
        <f t="shared" si="29"/>
        <v>25365</v>
      </c>
      <c r="M84" s="30" t="s">
        <v>293</v>
      </c>
    </row>
    <row r="85" spans="1:13" ht="47.25">
      <c r="A85" s="128" t="s">
        <v>294</v>
      </c>
      <c r="B85" s="128" t="s">
        <v>295</v>
      </c>
      <c r="C85" s="128" t="s">
        <v>296</v>
      </c>
      <c r="D85" s="130" t="s">
        <v>190</v>
      </c>
      <c r="E85" s="127">
        <v>32</v>
      </c>
      <c r="F85" s="6">
        <v>450</v>
      </c>
      <c r="G85" s="6">
        <v>450</v>
      </c>
      <c r="H85" s="17">
        <f t="shared" si="25"/>
        <v>0</v>
      </c>
      <c r="I85" s="17">
        <f t="shared" si="26"/>
        <v>0</v>
      </c>
      <c r="J85" s="17">
        <f t="shared" si="27"/>
        <v>0</v>
      </c>
      <c r="K85" s="17">
        <f t="shared" si="28"/>
        <v>0</v>
      </c>
      <c r="L85" s="18">
        <f t="shared" si="29"/>
        <v>14400</v>
      </c>
      <c r="M85" s="30" t="s">
        <v>234</v>
      </c>
    </row>
    <row r="86" spans="1:13" ht="31.5">
      <c r="A86" s="126" t="s">
        <v>297</v>
      </c>
      <c r="B86" s="129" t="s">
        <v>298</v>
      </c>
      <c r="C86" s="126" t="s">
        <v>299</v>
      </c>
      <c r="D86" s="129" t="s">
        <v>190</v>
      </c>
      <c r="E86" s="127">
        <v>95.86</v>
      </c>
      <c r="F86" s="6">
        <v>140</v>
      </c>
      <c r="G86" s="6">
        <v>140</v>
      </c>
      <c r="H86" s="17">
        <f t="shared" si="25"/>
        <v>0</v>
      </c>
      <c r="I86" s="17">
        <f t="shared" si="26"/>
        <v>0</v>
      </c>
      <c r="J86" s="17">
        <f t="shared" si="27"/>
        <v>0</v>
      </c>
      <c r="K86" s="17">
        <f t="shared" si="28"/>
        <v>0</v>
      </c>
      <c r="L86" s="18">
        <f t="shared" si="29"/>
        <v>13420.4</v>
      </c>
      <c r="M86" s="30" t="s">
        <v>197</v>
      </c>
    </row>
    <row r="87" spans="1:13" ht="31.5">
      <c r="A87" s="128" t="s">
        <v>300</v>
      </c>
      <c r="B87" s="130" t="s">
        <v>301</v>
      </c>
      <c r="C87" s="128" t="s">
        <v>302</v>
      </c>
      <c r="D87" s="130" t="s">
        <v>190</v>
      </c>
      <c r="E87" s="127">
        <v>34</v>
      </c>
      <c r="F87" s="6">
        <v>2300</v>
      </c>
      <c r="G87" s="6">
        <v>2300</v>
      </c>
      <c r="H87" s="17">
        <f t="shared" si="25"/>
        <v>0</v>
      </c>
      <c r="I87" s="17">
        <f t="shared" si="26"/>
        <v>0</v>
      </c>
      <c r="J87" s="17">
        <f t="shared" si="27"/>
        <v>0</v>
      </c>
      <c r="K87" s="17">
        <f t="shared" si="28"/>
        <v>0</v>
      </c>
      <c r="L87" s="18">
        <f t="shared" si="29"/>
        <v>78200</v>
      </c>
      <c r="M87" s="30" t="s">
        <v>119</v>
      </c>
    </row>
    <row r="88" spans="1:13" ht="31.5">
      <c r="A88" s="128" t="s">
        <v>303</v>
      </c>
      <c r="B88" s="130" t="s">
        <v>304</v>
      </c>
      <c r="C88" s="128" t="s">
        <v>305</v>
      </c>
      <c r="D88" s="128" t="s">
        <v>306</v>
      </c>
      <c r="E88" s="127">
        <v>14</v>
      </c>
      <c r="F88" s="6">
        <v>1100</v>
      </c>
      <c r="G88" s="6">
        <v>1100</v>
      </c>
      <c r="H88" s="17">
        <f t="shared" si="25"/>
        <v>0</v>
      </c>
      <c r="I88" s="17">
        <f t="shared" si="26"/>
        <v>0</v>
      </c>
      <c r="J88" s="17">
        <f t="shared" si="27"/>
        <v>0</v>
      </c>
      <c r="K88" s="17">
        <f t="shared" si="28"/>
        <v>0</v>
      </c>
      <c r="L88" s="18">
        <f t="shared" si="29"/>
        <v>15400</v>
      </c>
      <c r="M88" s="30" t="s">
        <v>19</v>
      </c>
    </row>
    <row r="89" spans="1:13">
      <c r="A89" s="128" t="s">
        <v>307</v>
      </c>
      <c r="B89" s="130" t="s">
        <v>308</v>
      </c>
      <c r="C89" s="128" t="s">
        <v>309</v>
      </c>
      <c r="D89" s="130" t="s">
        <v>190</v>
      </c>
      <c r="E89" s="21">
        <v>370.5</v>
      </c>
      <c r="F89" s="6">
        <v>800</v>
      </c>
      <c r="G89" s="6">
        <v>800</v>
      </c>
      <c r="H89" s="17">
        <f t="shared" si="25"/>
        <v>0</v>
      </c>
      <c r="I89" s="17">
        <f t="shared" si="26"/>
        <v>0</v>
      </c>
      <c r="J89" s="17">
        <f t="shared" si="27"/>
        <v>0</v>
      </c>
      <c r="K89" s="17">
        <f t="shared" si="28"/>
        <v>0</v>
      </c>
      <c r="L89" s="18">
        <f t="shared" si="29"/>
        <v>296400</v>
      </c>
      <c r="M89" s="30" t="s">
        <v>289</v>
      </c>
    </row>
    <row r="90" spans="1:13" ht="31.5">
      <c r="A90" s="128" t="s">
        <v>310</v>
      </c>
      <c r="B90" s="130" t="s">
        <v>308</v>
      </c>
      <c r="C90" s="128" t="s">
        <v>311</v>
      </c>
      <c r="D90" s="130" t="s">
        <v>190</v>
      </c>
      <c r="E90" s="21">
        <v>279</v>
      </c>
      <c r="F90" s="6">
        <v>700</v>
      </c>
      <c r="G90" s="6">
        <v>700</v>
      </c>
      <c r="H90" s="17">
        <f t="shared" ref="H90:H103" si="30">F90-G90</f>
        <v>0</v>
      </c>
      <c r="I90" s="17">
        <f t="shared" ref="I90:I103" si="31">E90*H90</f>
        <v>0</v>
      </c>
      <c r="J90" s="17">
        <f t="shared" ref="J90:J103" si="32">G90-F90</f>
        <v>0</v>
      </c>
      <c r="K90" s="17">
        <f t="shared" ref="K90:K103" si="33">E90*J90</f>
        <v>0</v>
      </c>
      <c r="L90" s="18">
        <f t="shared" ref="L90:L103" si="34">E90*G90</f>
        <v>195300</v>
      </c>
      <c r="M90" s="30" t="s">
        <v>312</v>
      </c>
    </row>
    <row r="91" spans="1:13" ht="47.25">
      <c r="A91" s="128" t="s">
        <v>313</v>
      </c>
      <c r="B91" s="128" t="s">
        <v>314</v>
      </c>
      <c r="C91" s="128" t="s">
        <v>315</v>
      </c>
      <c r="D91" s="128" t="s">
        <v>316</v>
      </c>
      <c r="E91" s="21">
        <v>40</v>
      </c>
      <c r="F91" s="6">
        <v>3420</v>
      </c>
      <c r="G91" s="6">
        <v>3420</v>
      </c>
      <c r="H91" s="17">
        <f t="shared" si="30"/>
        <v>0</v>
      </c>
      <c r="I91" s="17">
        <f t="shared" si="31"/>
        <v>0</v>
      </c>
      <c r="J91" s="17">
        <f t="shared" si="32"/>
        <v>0</v>
      </c>
      <c r="K91" s="17">
        <f t="shared" si="33"/>
        <v>0</v>
      </c>
      <c r="L91" s="18">
        <f t="shared" si="34"/>
        <v>136800</v>
      </c>
      <c r="M91" s="30" t="s">
        <v>317</v>
      </c>
    </row>
    <row r="92" spans="1:13" ht="31.5">
      <c r="A92" s="126" t="s">
        <v>318</v>
      </c>
      <c r="B92" s="126" t="s">
        <v>319</v>
      </c>
      <c r="C92" s="126" t="s">
        <v>320</v>
      </c>
      <c r="D92" s="126" t="s">
        <v>84</v>
      </c>
      <c r="E92" s="111">
        <v>60</v>
      </c>
      <c r="F92" s="6">
        <v>120</v>
      </c>
      <c r="G92" s="6">
        <v>120</v>
      </c>
      <c r="H92" s="17">
        <f t="shared" si="30"/>
        <v>0</v>
      </c>
      <c r="I92" s="17">
        <f t="shared" si="31"/>
        <v>0</v>
      </c>
      <c r="J92" s="17">
        <f t="shared" si="32"/>
        <v>0</v>
      </c>
      <c r="K92" s="17">
        <f t="shared" si="33"/>
        <v>0</v>
      </c>
      <c r="L92" s="18">
        <f t="shared" si="34"/>
        <v>7200</v>
      </c>
      <c r="M92" s="30" t="s">
        <v>321</v>
      </c>
    </row>
    <row r="93" spans="1:13" ht="31.5">
      <c r="A93" s="126" t="s">
        <v>322</v>
      </c>
      <c r="B93" s="126" t="s">
        <v>323</v>
      </c>
      <c r="C93" s="126" t="s">
        <v>76</v>
      </c>
      <c r="D93" s="126" t="s">
        <v>118</v>
      </c>
      <c r="E93" s="21">
        <v>1.26</v>
      </c>
      <c r="F93" s="6">
        <v>400</v>
      </c>
      <c r="G93" s="6">
        <v>400</v>
      </c>
      <c r="H93" s="17">
        <f t="shared" si="30"/>
        <v>0</v>
      </c>
      <c r="I93" s="17">
        <f t="shared" si="31"/>
        <v>0</v>
      </c>
      <c r="J93" s="17">
        <f t="shared" si="32"/>
        <v>0</v>
      </c>
      <c r="K93" s="17">
        <f t="shared" si="33"/>
        <v>0</v>
      </c>
      <c r="L93" s="18">
        <f t="shared" si="34"/>
        <v>504</v>
      </c>
      <c r="M93" s="30" t="s">
        <v>19</v>
      </c>
    </row>
    <row r="94" spans="1:13" ht="47.25">
      <c r="A94" s="126" t="s">
        <v>324</v>
      </c>
      <c r="B94" s="126" t="s">
        <v>325</v>
      </c>
      <c r="C94" s="126" t="s">
        <v>326</v>
      </c>
      <c r="D94" s="129" t="s">
        <v>190</v>
      </c>
      <c r="E94" s="21">
        <v>319</v>
      </c>
      <c r="F94" s="6">
        <v>250</v>
      </c>
      <c r="G94" s="6">
        <v>250</v>
      </c>
      <c r="H94" s="17">
        <f t="shared" si="30"/>
        <v>0</v>
      </c>
      <c r="I94" s="17">
        <f t="shared" si="31"/>
        <v>0</v>
      </c>
      <c r="J94" s="17">
        <f t="shared" si="32"/>
        <v>0</v>
      </c>
      <c r="K94" s="17">
        <f t="shared" si="33"/>
        <v>0</v>
      </c>
      <c r="L94" s="18">
        <f t="shared" si="34"/>
        <v>79750</v>
      </c>
      <c r="M94" s="30" t="s">
        <v>327</v>
      </c>
    </row>
    <row r="95" spans="1:13" ht="31.5">
      <c r="A95" s="126" t="s">
        <v>328</v>
      </c>
      <c r="B95" s="129" t="s">
        <v>329</v>
      </c>
      <c r="C95" s="126" t="s">
        <v>330</v>
      </c>
      <c r="D95" s="129" t="s">
        <v>190</v>
      </c>
      <c r="E95" s="127">
        <v>185</v>
      </c>
      <c r="F95" s="6">
        <v>230</v>
      </c>
      <c r="G95" s="6">
        <v>230</v>
      </c>
      <c r="H95" s="17">
        <f t="shared" si="30"/>
        <v>0</v>
      </c>
      <c r="I95" s="17">
        <f t="shared" si="31"/>
        <v>0</v>
      </c>
      <c r="J95" s="17">
        <f t="shared" si="32"/>
        <v>0</v>
      </c>
      <c r="K95" s="17">
        <f t="shared" si="33"/>
        <v>0</v>
      </c>
      <c r="L95" s="18">
        <f t="shared" si="34"/>
        <v>42550</v>
      </c>
      <c r="M95" s="30" t="s">
        <v>48</v>
      </c>
    </row>
    <row r="96" spans="1:13" ht="47.25">
      <c r="A96" s="126" t="s">
        <v>331</v>
      </c>
      <c r="B96" s="126" t="s">
        <v>332</v>
      </c>
      <c r="C96" s="126" t="s">
        <v>333</v>
      </c>
      <c r="D96" s="126" t="s">
        <v>118</v>
      </c>
      <c r="E96" s="127">
        <v>16</v>
      </c>
      <c r="F96" s="6">
        <v>900</v>
      </c>
      <c r="G96" s="6">
        <v>900</v>
      </c>
      <c r="H96" s="17">
        <f t="shared" si="30"/>
        <v>0</v>
      </c>
      <c r="I96" s="17">
        <f t="shared" si="31"/>
        <v>0</v>
      </c>
      <c r="J96" s="17">
        <f t="shared" si="32"/>
        <v>0</v>
      </c>
      <c r="K96" s="17">
        <f t="shared" si="33"/>
        <v>0</v>
      </c>
      <c r="L96" s="18">
        <f t="shared" si="34"/>
        <v>14400</v>
      </c>
      <c r="M96" s="30" t="s">
        <v>29</v>
      </c>
    </row>
    <row r="97" spans="1:13" ht="31.5">
      <c r="A97" s="128" t="s">
        <v>334</v>
      </c>
      <c r="B97" s="130" t="s">
        <v>335</v>
      </c>
      <c r="C97" s="128" t="s">
        <v>311</v>
      </c>
      <c r="D97" s="128" t="s">
        <v>190</v>
      </c>
      <c r="E97" s="127">
        <v>135</v>
      </c>
      <c r="F97" s="6">
        <v>40</v>
      </c>
      <c r="G97" s="6">
        <v>40</v>
      </c>
      <c r="H97" s="17">
        <f t="shared" si="30"/>
        <v>0</v>
      </c>
      <c r="I97" s="17">
        <f t="shared" si="31"/>
        <v>0</v>
      </c>
      <c r="J97" s="17">
        <f t="shared" si="32"/>
        <v>0</v>
      </c>
      <c r="K97" s="17">
        <f t="shared" si="33"/>
        <v>0</v>
      </c>
      <c r="L97" s="18">
        <f t="shared" si="34"/>
        <v>5400</v>
      </c>
      <c r="M97" s="30" t="s">
        <v>336</v>
      </c>
    </row>
    <row r="98" spans="1:13">
      <c r="A98" s="126" t="s">
        <v>337</v>
      </c>
      <c r="B98" s="129" t="s">
        <v>335</v>
      </c>
      <c r="C98" s="126" t="s">
        <v>309</v>
      </c>
      <c r="D98" s="126" t="s">
        <v>190</v>
      </c>
      <c r="E98" s="127">
        <v>125</v>
      </c>
      <c r="F98" s="6">
        <v>930</v>
      </c>
      <c r="G98" s="6">
        <v>930</v>
      </c>
      <c r="H98" s="17">
        <f t="shared" si="30"/>
        <v>0</v>
      </c>
      <c r="I98" s="17">
        <f t="shared" si="31"/>
        <v>0</v>
      </c>
      <c r="J98" s="17">
        <f t="shared" si="32"/>
        <v>0</v>
      </c>
      <c r="K98" s="17">
        <f t="shared" si="33"/>
        <v>0</v>
      </c>
      <c r="L98" s="18">
        <f t="shared" si="34"/>
        <v>116250</v>
      </c>
      <c r="M98" s="30" t="s">
        <v>24</v>
      </c>
    </row>
    <row r="99" spans="1:13" ht="31.5">
      <c r="A99" s="128" t="s">
        <v>338</v>
      </c>
      <c r="B99" s="130" t="s">
        <v>339</v>
      </c>
      <c r="C99" s="128" t="s">
        <v>340</v>
      </c>
      <c r="D99" s="130" t="s">
        <v>190</v>
      </c>
      <c r="E99" s="127">
        <v>800</v>
      </c>
      <c r="F99" s="6">
        <v>411</v>
      </c>
      <c r="G99" s="6">
        <v>411</v>
      </c>
      <c r="H99" s="17">
        <f t="shared" si="30"/>
        <v>0</v>
      </c>
      <c r="I99" s="17">
        <f t="shared" si="31"/>
        <v>0</v>
      </c>
      <c r="J99" s="17">
        <f t="shared" si="32"/>
        <v>0</v>
      </c>
      <c r="K99" s="17">
        <f t="shared" si="33"/>
        <v>0</v>
      </c>
      <c r="L99" s="18">
        <f t="shared" si="34"/>
        <v>328800</v>
      </c>
      <c r="M99" s="30" t="s">
        <v>341</v>
      </c>
    </row>
    <row r="100" spans="1:13">
      <c r="A100" s="126"/>
      <c r="B100" s="129" t="s">
        <v>342</v>
      </c>
      <c r="C100" s="126" t="s">
        <v>343</v>
      </c>
      <c r="D100" s="126" t="s">
        <v>185</v>
      </c>
      <c r="E100" s="127">
        <v>68</v>
      </c>
      <c r="F100" s="6">
        <v>144</v>
      </c>
      <c r="G100" s="6">
        <v>144</v>
      </c>
      <c r="H100" s="17">
        <f t="shared" si="30"/>
        <v>0</v>
      </c>
      <c r="I100" s="17">
        <f t="shared" si="31"/>
        <v>0</v>
      </c>
      <c r="J100" s="17">
        <f t="shared" si="32"/>
        <v>0</v>
      </c>
      <c r="K100" s="17">
        <f t="shared" si="33"/>
        <v>0</v>
      </c>
      <c r="L100" s="18">
        <f t="shared" si="34"/>
        <v>9792</v>
      </c>
      <c r="M100" s="30" t="s">
        <v>130</v>
      </c>
    </row>
    <row r="101" spans="1:13">
      <c r="A101" s="126"/>
      <c r="B101" s="129" t="s">
        <v>344</v>
      </c>
      <c r="C101" s="126" t="s">
        <v>345</v>
      </c>
      <c r="D101" s="129" t="s">
        <v>185</v>
      </c>
      <c r="E101" s="127">
        <v>11</v>
      </c>
      <c r="F101" s="6">
        <v>1200</v>
      </c>
      <c r="G101" s="6">
        <v>1200</v>
      </c>
      <c r="H101" s="17">
        <f t="shared" si="30"/>
        <v>0</v>
      </c>
      <c r="I101" s="17">
        <f t="shared" si="31"/>
        <v>0</v>
      </c>
      <c r="J101" s="17">
        <f t="shared" si="32"/>
        <v>0</v>
      </c>
      <c r="K101" s="17">
        <f t="shared" si="33"/>
        <v>0</v>
      </c>
      <c r="L101" s="18">
        <f t="shared" si="34"/>
        <v>13200</v>
      </c>
      <c r="M101" s="30" t="s">
        <v>98</v>
      </c>
    </row>
    <row r="102" spans="1:13">
      <c r="A102" s="126" t="s">
        <v>346</v>
      </c>
      <c r="B102" s="129" t="s">
        <v>347</v>
      </c>
      <c r="C102" s="126" t="s">
        <v>348</v>
      </c>
      <c r="D102" s="126" t="s">
        <v>179</v>
      </c>
      <c r="E102" s="21">
        <v>15.8</v>
      </c>
      <c r="F102" s="6">
        <v>540</v>
      </c>
      <c r="G102" s="6">
        <v>540</v>
      </c>
      <c r="H102" s="17">
        <f t="shared" si="30"/>
        <v>0</v>
      </c>
      <c r="I102" s="17">
        <f t="shared" si="31"/>
        <v>0</v>
      </c>
      <c r="J102" s="17">
        <f t="shared" si="32"/>
        <v>0</v>
      </c>
      <c r="K102" s="17">
        <f t="shared" si="33"/>
        <v>0</v>
      </c>
      <c r="L102" s="18">
        <f t="shared" si="34"/>
        <v>8532</v>
      </c>
      <c r="M102" s="30" t="s">
        <v>197</v>
      </c>
    </row>
    <row r="103" spans="1:13">
      <c r="A103" s="126" t="s">
        <v>349</v>
      </c>
      <c r="B103" s="129" t="s">
        <v>350</v>
      </c>
      <c r="C103" s="126" t="s">
        <v>351</v>
      </c>
      <c r="D103" s="126" t="s">
        <v>185</v>
      </c>
      <c r="E103" s="21">
        <v>9</v>
      </c>
      <c r="F103" s="6">
        <v>300</v>
      </c>
      <c r="G103" s="6">
        <v>300</v>
      </c>
      <c r="H103" s="17">
        <f t="shared" si="30"/>
        <v>0</v>
      </c>
      <c r="I103" s="17">
        <f t="shared" si="31"/>
        <v>0</v>
      </c>
      <c r="J103" s="17">
        <f t="shared" si="32"/>
        <v>0</v>
      </c>
      <c r="K103" s="17">
        <f t="shared" si="33"/>
        <v>0</v>
      </c>
      <c r="L103" s="18">
        <f t="shared" si="34"/>
        <v>2700</v>
      </c>
      <c r="M103" s="30" t="s">
        <v>48</v>
      </c>
    </row>
    <row r="104" spans="1:13">
      <c r="A104" s="126" t="s">
        <v>352</v>
      </c>
      <c r="B104" s="126" t="s">
        <v>350</v>
      </c>
      <c r="C104" s="126" t="s">
        <v>353</v>
      </c>
      <c r="D104" s="126" t="s">
        <v>354</v>
      </c>
      <c r="E104" s="21">
        <v>15</v>
      </c>
      <c r="F104" s="6">
        <v>35</v>
      </c>
      <c r="G104" s="6">
        <v>35</v>
      </c>
      <c r="H104" s="17">
        <f t="shared" ref="H104:H114" si="35">F104-G104</f>
        <v>0</v>
      </c>
      <c r="I104" s="17">
        <f t="shared" ref="I104:I114" si="36">E104*H104</f>
        <v>0</v>
      </c>
      <c r="J104" s="17">
        <f t="shared" ref="J104:J114" si="37">G104-F104</f>
        <v>0</v>
      </c>
      <c r="K104" s="17">
        <f t="shared" ref="K104:K114" si="38">E104*J104</f>
        <v>0</v>
      </c>
      <c r="L104" s="18">
        <f t="shared" ref="L104:L114" si="39">E104*G104</f>
        <v>525</v>
      </c>
      <c r="M104" s="30" t="s">
        <v>289</v>
      </c>
    </row>
    <row r="105" spans="1:13" ht="31.5">
      <c r="A105" s="126" t="s">
        <v>355</v>
      </c>
      <c r="B105" s="129" t="s">
        <v>356</v>
      </c>
      <c r="C105" s="126" t="s">
        <v>357</v>
      </c>
      <c r="D105" s="129" t="s">
        <v>190</v>
      </c>
      <c r="E105" s="21">
        <v>1300</v>
      </c>
      <c r="F105" s="6">
        <v>73</v>
      </c>
      <c r="G105" s="6">
        <v>73</v>
      </c>
      <c r="H105" s="17">
        <f t="shared" si="35"/>
        <v>0</v>
      </c>
      <c r="I105" s="17">
        <f t="shared" si="36"/>
        <v>0</v>
      </c>
      <c r="J105" s="17">
        <f t="shared" si="37"/>
        <v>0</v>
      </c>
      <c r="K105" s="17">
        <f t="shared" si="38"/>
        <v>0</v>
      </c>
      <c r="L105" s="18">
        <f t="shared" si="39"/>
        <v>94900</v>
      </c>
      <c r="M105" s="30" t="s">
        <v>358</v>
      </c>
    </row>
    <row r="106" spans="1:13" ht="31.5">
      <c r="A106" s="126" t="s">
        <v>359</v>
      </c>
      <c r="B106" s="129" t="s">
        <v>360</v>
      </c>
      <c r="C106" s="126" t="s">
        <v>361</v>
      </c>
      <c r="D106" s="126" t="s">
        <v>362</v>
      </c>
      <c r="E106" s="21">
        <v>650</v>
      </c>
      <c r="F106" s="6">
        <v>80</v>
      </c>
      <c r="G106" s="6">
        <v>80</v>
      </c>
      <c r="H106" s="17">
        <f t="shared" si="35"/>
        <v>0</v>
      </c>
      <c r="I106" s="17">
        <f t="shared" si="36"/>
        <v>0</v>
      </c>
      <c r="J106" s="17">
        <f t="shared" si="37"/>
        <v>0</v>
      </c>
      <c r="K106" s="17">
        <f t="shared" si="38"/>
        <v>0</v>
      </c>
      <c r="L106" s="18">
        <f t="shared" si="39"/>
        <v>52000</v>
      </c>
      <c r="M106" s="30" t="s">
        <v>69</v>
      </c>
    </row>
    <row r="107" spans="1:13" ht="31.5">
      <c r="A107" s="126" t="s">
        <v>363</v>
      </c>
      <c r="B107" s="129" t="s">
        <v>364</v>
      </c>
      <c r="C107" s="126" t="s">
        <v>365</v>
      </c>
      <c r="D107" s="126" t="s">
        <v>366</v>
      </c>
      <c r="E107" s="21">
        <v>45</v>
      </c>
      <c r="F107" s="6">
        <v>1755</v>
      </c>
      <c r="G107" s="6">
        <v>1755</v>
      </c>
      <c r="H107" s="17">
        <f t="shared" si="35"/>
        <v>0</v>
      </c>
      <c r="I107" s="17">
        <f t="shared" si="36"/>
        <v>0</v>
      </c>
      <c r="J107" s="17">
        <f t="shared" si="37"/>
        <v>0</v>
      </c>
      <c r="K107" s="17">
        <f t="shared" si="38"/>
        <v>0</v>
      </c>
      <c r="L107" s="18">
        <f t="shared" si="39"/>
        <v>78975</v>
      </c>
      <c r="M107" s="30" t="s">
        <v>166</v>
      </c>
    </row>
    <row r="108" spans="1:13">
      <c r="A108" s="126" t="s">
        <v>367</v>
      </c>
      <c r="B108" s="126" t="s">
        <v>368</v>
      </c>
      <c r="C108" s="126" t="s">
        <v>369</v>
      </c>
      <c r="D108" s="129" t="s">
        <v>185</v>
      </c>
      <c r="E108" s="21">
        <v>10</v>
      </c>
      <c r="F108" s="6">
        <v>2600</v>
      </c>
      <c r="G108" s="6">
        <v>2600</v>
      </c>
      <c r="H108" s="17">
        <f t="shared" si="35"/>
        <v>0</v>
      </c>
      <c r="I108" s="17">
        <f t="shared" si="36"/>
        <v>0</v>
      </c>
      <c r="J108" s="17">
        <f t="shared" si="37"/>
        <v>0</v>
      </c>
      <c r="K108" s="17">
        <f t="shared" si="38"/>
        <v>0</v>
      </c>
      <c r="L108" s="18">
        <f t="shared" si="39"/>
        <v>26000</v>
      </c>
      <c r="M108" s="30" t="s">
        <v>370</v>
      </c>
    </row>
    <row r="109" spans="1:13" ht="63">
      <c r="A109" s="135" t="s">
        <v>371</v>
      </c>
      <c r="B109" s="135" t="s">
        <v>372</v>
      </c>
      <c r="C109" s="135" t="s">
        <v>373</v>
      </c>
      <c r="D109" s="135" t="s">
        <v>374</v>
      </c>
      <c r="E109" s="21">
        <v>1000</v>
      </c>
      <c r="F109" s="6">
        <v>416</v>
      </c>
      <c r="G109" s="6">
        <v>416</v>
      </c>
      <c r="H109" s="17">
        <f t="shared" si="35"/>
        <v>0</v>
      </c>
      <c r="I109" s="17">
        <f t="shared" si="36"/>
        <v>0</v>
      </c>
      <c r="J109" s="17">
        <f t="shared" si="37"/>
        <v>0</v>
      </c>
      <c r="K109" s="17">
        <f t="shared" si="38"/>
        <v>0</v>
      </c>
      <c r="L109" s="18">
        <f t="shared" si="39"/>
        <v>416000</v>
      </c>
      <c r="M109" s="30" t="s">
        <v>188</v>
      </c>
    </row>
    <row r="110" spans="1:13">
      <c r="A110" s="126" t="s">
        <v>375</v>
      </c>
      <c r="B110" s="126" t="s">
        <v>376</v>
      </c>
      <c r="C110" s="126" t="s">
        <v>309</v>
      </c>
      <c r="D110" s="129" t="s">
        <v>190</v>
      </c>
      <c r="E110" s="21">
        <v>1540</v>
      </c>
      <c r="F110" s="6">
        <v>10</v>
      </c>
      <c r="G110" s="6">
        <v>10</v>
      </c>
      <c r="H110" s="17">
        <f t="shared" si="35"/>
        <v>0</v>
      </c>
      <c r="I110" s="17">
        <f t="shared" si="36"/>
        <v>0</v>
      </c>
      <c r="J110" s="17">
        <f t="shared" si="37"/>
        <v>0</v>
      </c>
      <c r="K110" s="17">
        <f t="shared" si="38"/>
        <v>0</v>
      </c>
      <c r="L110" s="18">
        <f t="shared" si="39"/>
        <v>15400</v>
      </c>
      <c r="M110" s="30" t="s">
        <v>143</v>
      </c>
    </row>
    <row r="111" spans="1:13">
      <c r="A111" s="126" t="s">
        <v>377</v>
      </c>
      <c r="B111" s="126" t="s">
        <v>378</v>
      </c>
      <c r="C111" s="126" t="s">
        <v>379</v>
      </c>
      <c r="D111" s="126" t="s">
        <v>190</v>
      </c>
      <c r="E111" s="21">
        <v>1860</v>
      </c>
      <c r="F111" s="6">
        <v>16</v>
      </c>
      <c r="G111" s="6">
        <v>16</v>
      </c>
      <c r="H111" s="17">
        <f t="shared" si="35"/>
        <v>0</v>
      </c>
      <c r="I111" s="17">
        <f t="shared" si="36"/>
        <v>0</v>
      </c>
      <c r="J111" s="17">
        <f t="shared" si="37"/>
        <v>0</v>
      </c>
      <c r="K111" s="17">
        <f t="shared" si="38"/>
        <v>0</v>
      </c>
      <c r="L111" s="18">
        <f t="shared" si="39"/>
        <v>29760</v>
      </c>
      <c r="M111" s="30" t="s">
        <v>135</v>
      </c>
    </row>
    <row r="112" spans="1:13">
      <c r="A112" s="126" t="s">
        <v>380</v>
      </c>
      <c r="B112" s="126" t="s">
        <v>381</v>
      </c>
      <c r="C112" s="126" t="s">
        <v>382</v>
      </c>
      <c r="D112" s="129" t="s">
        <v>190</v>
      </c>
      <c r="E112" s="21">
        <v>1500</v>
      </c>
      <c r="F112" s="6">
        <v>40</v>
      </c>
      <c r="G112" s="6">
        <v>40</v>
      </c>
      <c r="H112" s="17">
        <f t="shared" si="35"/>
        <v>0</v>
      </c>
      <c r="I112" s="17">
        <f t="shared" si="36"/>
        <v>0</v>
      </c>
      <c r="J112" s="17">
        <f t="shared" si="37"/>
        <v>0</v>
      </c>
      <c r="K112" s="17">
        <f t="shared" si="38"/>
        <v>0</v>
      </c>
      <c r="L112" s="18">
        <f t="shared" si="39"/>
        <v>60000</v>
      </c>
      <c r="M112" s="30" t="s">
        <v>119</v>
      </c>
    </row>
    <row r="113" spans="1:13">
      <c r="A113" s="126" t="s">
        <v>383</v>
      </c>
      <c r="B113" s="126" t="s">
        <v>384</v>
      </c>
      <c r="C113" s="126" t="s">
        <v>385</v>
      </c>
      <c r="D113" s="126" t="s">
        <v>386</v>
      </c>
      <c r="E113" s="21">
        <v>36.67</v>
      </c>
      <c r="F113" s="6">
        <v>300</v>
      </c>
      <c r="G113" s="6">
        <v>300</v>
      </c>
      <c r="H113" s="17">
        <f t="shared" si="35"/>
        <v>0</v>
      </c>
      <c r="I113" s="17">
        <f t="shared" si="36"/>
        <v>0</v>
      </c>
      <c r="J113" s="17">
        <f t="shared" si="37"/>
        <v>0</v>
      </c>
      <c r="K113" s="17">
        <f t="shared" si="38"/>
        <v>0</v>
      </c>
      <c r="L113" s="18">
        <f t="shared" si="39"/>
        <v>11001</v>
      </c>
      <c r="M113" s="30" t="s">
        <v>387</v>
      </c>
    </row>
    <row r="114" spans="1:13">
      <c r="A114" s="126" t="s">
        <v>388</v>
      </c>
      <c r="B114" s="126" t="s">
        <v>389</v>
      </c>
      <c r="C114" s="126" t="s">
        <v>390</v>
      </c>
      <c r="D114" s="126" t="s">
        <v>247</v>
      </c>
      <c r="E114" s="21">
        <v>8000</v>
      </c>
      <c r="F114" s="6">
        <v>90</v>
      </c>
      <c r="G114" s="6">
        <v>90</v>
      </c>
      <c r="H114" s="17">
        <f t="shared" si="35"/>
        <v>0</v>
      </c>
      <c r="I114" s="17">
        <f t="shared" si="36"/>
        <v>0</v>
      </c>
      <c r="J114" s="17">
        <f t="shared" si="37"/>
        <v>0</v>
      </c>
      <c r="K114" s="17">
        <f t="shared" si="38"/>
        <v>0</v>
      </c>
      <c r="L114" s="18">
        <f t="shared" si="39"/>
        <v>720000</v>
      </c>
      <c r="M114" s="30" t="s">
        <v>211</v>
      </c>
    </row>
    <row r="115" spans="1:13">
      <c r="A115" s="126" t="s">
        <v>391</v>
      </c>
      <c r="B115" s="126" t="s">
        <v>392</v>
      </c>
      <c r="C115" s="126" t="s">
        <v>393</v>
      </c>
      <c r="D115" s="126" t="s">
        <v>394</v>
      </c>
      <c r="E115" s="21">
        <v>14935</v>
      </c>
      <c r="F115" s="6">
        <v>1</v>
      </c>
      <c r="G115" s="6">
        <v>1</v>
      </c>
      <c r="H115" s="17">
        <f t="shared" ref="H115:H124" si="40">F115-G115</f>
        <v>0</v>
      </c>
      <c r="I115" s="17">
        <f t="shared" ref="I115:I124" si="41">E115*H115</f>
        <v>0</v>
      </c>
      <c r="J115" s="17">
        <f t="shared" ref="J115:J124" si="42">G115-F115</f>
        <v>0</v>
      </c>
      <c r="K115" s="17">
        <f t="shared" ref="K115:K124" si="43">E115*J115</f>
        <v>0</v>
      </c>
      <c r="L115" s="18">
        <f t="shared" ref="L115:L124" si="44">E115*G115</f>
        <v>14935</v>
      </c>
      <c r="M115" s="30" t="s">
        <v>166</v>
      </c>
    </row>
    <row r="116" spans="1:13">
      <c r="A116" s="126" t="s">
        <v>395</v>
      </c>
      <c r="B116" s="129" t="s">
        <v>396</v>
      </c>
      <c r="C116" s="126" t="s">
        <v>369</v>
      </c>
      <c r="D116" s="126" t="s">
        <v>185</v>
      </c>
      <c r="E116" s="21">
        <v>9.35</v>
      </c>
      <c r="F116" s="6">
        <v>3300</v>
      </c>
      <c r="G116" s="6">
        <v>3300</v>
      </c>
      <c r="H116" s="17">
        <f t="shared" si="40"/>
        <v>0</v>
      </c>
      <c r="I116" s="17">
        <f t="shared" si="41"/>
        <v>0</v>
      </c>
      <c r="J116" s="17">
        <f t="shared" si="42"/>
        <v>0</v>
      </c>
      <c r="K116" s="17">
        <f t="shared" si="43"/>
        <v>0</v>
      </c>
      <c r="L116" s="18">
        <f t="shared" si="44"/>
        <v>30855</v>
      </c>
      <c r="M116" s="30" t="s">
        <v>24</v>
      </c>
    </row>
    <row r="117" spans="1:13">
      <c r="A117" s="126" t="s">
        <v>397</v>
      </c>
      <c r="B117" s="129" t="s">
        <v>398</v>
      </c>
      <c r="C117" s="126" t="s">
        <v>399</v>
      </c>
      <c r="D117" s="126" t="s">
        <v>190</v>
      </c>
      <c r="E117" s="21">
        <v>1800</v>
      </c>
      <c r="F117" s="6">
        <v>18</v>
      </c>
      <c r="G117" s="6">
        <v>18</v>
      </c>
      <c r="H117" s="17">
        <f t="shared" si="40"/>
        <v>0</v>
      </c>
      <c r="I117" s="17">
        <f t="shared" si="41"/>
        <v>0</v>
      </c>
      <c r="J117" s="17">
        <f t="shared" si="42"/>
        <v>0</v>
      </c>
      <c r="K117" s="17">
        <f t="shared" si="43"/>
        <v>0</v>
      </c>
      <c r="L117" s="18">
        <f t="shared" si="44"/>
        <v>32400</v>
      </c>
      <c r="M117" s="30" t="s">
        <v>48</v>
      </c>
    </row>
    <row r="118" spans="1:13">
      <c r="A118" s="126" t="s">
        <v>400</v>
      </c>
      <c r="B118" s="129" t="s">
        <v>401</v>
      </c>
      <c r="C118" s="126" t="s">
        <v>402</v>
      </c>
      <c r="D118" s="126" t="s">
        <v>56</v>
      </c>
      <c r="E118" s="21">
        <v>9</v>
      </c>
      <c r="F118" s="6">
        <v>1400</v>
      </c>
      <c r="G118" s="6">
        <v>1400</v>
      </c>
      <c r="H118" s="17">
        <f t="shared" si="40"/>
        <v>0</v>
      </c>
      <c r="I118" s="17">
        <f t="shared" si="41"/>
        <v>0</v>
      </c>
      <c r="J118" s="17">
        <f t="shared" si="42"/>
        <v>0</v>
      </c>
      <c r="K118" s="17">
        <f t="shared" si="43"/>
        <v>0</v>
      </c>
      <c r="L118" s="18">
        <f t="shared" si="44"/>
        <v>12600</v>
      </c>
      <c r="M118" s="30" t="s">
        <v>403</v>
      </c>
    </row>
    <row r="119" spans="1:13" ht="31.5">
      <c r="A119" s="126" t="s">
        <v>404</v>
      </c>
      <c r="B119" s="129" t="s">
        <v>405</v>
      </c>
      <c r="C119" s="126" t="s">
        <v>406</v>
      </c>
      <c r="D119" s="126" t="s">
        <v>56</v>
      </c>
      <c r="E119" s="21">
        <v>500</v>
      </c>
      <c r="F119" s="6">
        <v>20</v>
      </c>
      <c r="G119" s="6">
        <v>20</v>
      </c>
      <c r="H119" s="17">
        <f t="shared" si="40"/>
        <v>0</v>
      </c>
      <c r="I119" s="17">
        <f t="shared" si="41"/>
        <v>0</v>
      </c>
      <c r="J119" s="17">
        <f t="shared" si="42"/>
        <v>0</v>
      </c>
      <c r="K119" s="17">
        <f t="shared" si="43"/>
        <v>0</v>
      </c>
      <c r="L119" s="18">
        <f t="shared" si="44"/>
        <v>10000</v>
      </c>
      <c r="M119" s="30" t="s">
        <v>143</v>
      </c>
    </row>
    <row r="120" spans="1:13" ht="31.5">
      <c r="A120" s="126" t="s">
        <v>407</v>
      </c>
      <c r="B120" s="126" t="s">
        <v>408</v>
      </c>
      <c r="C120" s="126" t="s">
        <v>409</v>
      </c>
      <c r="D120" s="126" t="s">
        <v>38</v>
      </c>
      <c r="E120" s="21">
        <v>563.05999999999995</v>
      </c>
      <c r="F120" s="6">
        <v>30</v>
      </c>
      <c r="G120" s="6">
        <v>30</v>
      </c>
      <c r="H120" s="17">
        <f t="shared" si="40"/>
        <v>0</v>
      </c>
      <c r="I120" s="17">
        <f t="shared" si="41"/>
        <v>0</v>
      </c>
      <c r="J120" s="17">
        <f t="shared" si="42"/>
        <v>0</v>
      </c>
      <c r="K120" s="17">
        <f t="shared" si="43"/>
        <v>0</v>
      </c>
      <c r="L120" s="18">
        <f t="shared" si="44"/>
        <v>16891.8</v>
      </c>
      <c r="M120" s="30" t="s">
        <v>48</v>
      </c>
    </row>
    <row r="121" spans="1:13">
      <c r="A121" s="128" t="s">
        <v>410</v>
      </c>
      <c r="B121" s="128" t="s">
        <v>411</v>
      </c>
      <c r="C121" s="128" t="s">
        <v>412</v>
      </c>
      <c r="D121" s="128" t="s">
        <v>185</v>
      </c>
      <c r="E121" s="21">
        <v>3</v>
      </c>
      <c r="F121" s="6">
        <v>25700</v>
      </c>
      <c r="G121" s="6">
        <v>25700</v>
      </c>
      <c r="H121" s="17">
        <f t="shared" si="40"/>
        <v>0</v>
      </c>
      <c r="I121" s="17">
        <f t="shared" si="41"/>
        <v>0</v>
      </c>
      <c r="J121" s="17">
        <f t="shared" si="42"/>
        <v>0</v>
      </c>
      <c r="K121" s="17">
        <f t="shared" si="43"/>
        <v>0</v>
      </c>
      <c r="L121" s="18">
        <f t="shared" si="44"/>
        <v>77100</v>
      </c>
      <c r="M121" s="30" t="s">
        <v>197</v>
      </c>
    </row>
    <row r="122" spans="1:13" ht="31.5">
      <c r="A122" s="128" t="s">
        <v>413</v>
      </c>
      <c r="B122" s="128" t="s">
        <v>414</v>
      </c>
      <c r="C122" s="128" t="s">
        <v>415</v>
      </c>
      <c r="D122" s="128" t="s">
        <v>56</v>
      </c>
      <c r="E122" s="21">
        <v>7.5</v>
      </c>
      <c r="F122" s="6">
        <v>1100</v>
      </c>
      <c r="G122" s="6">
        <v>1100</v>
      </c>
      <c r="H122" s="17">
        <f t="shared" si="40"/>
        <v>0</v>
      </c>
      <c r="I122" s="17">
        <f t="shared" si="41"/>
        <v>0</v>
      </c>
      <c r="J122" s="17">
        <f t="shared" si="42"/>
        <v>0</v>
      </c>
      <c r="K122" s="17">
        <f t="shared" si="43"/>
        <v>0</v>
      </c>
      <c r="L122" s="18">
        <f t="shared" si="44"/>
        <v>8250</v>
      </c>
      <c r="M122" s="30" t="s">
        <v>19</v>
      </c>
    </row>
    <row r="123" spans="1:13" ht="31.5">
      <c r="A123" s="128" t="s">
        <v>416</v>
      </c>
      <c r="B123" s="128" t="s">
        <v>417</v>
      </c>
      <c r="C123" s="128" t="s">
        <v>146</v>
      </c>
      <c r="D123" s="128" t="s">
        <v>118</v>
      </c>
      <c r="E123" s="21">
        <v>0.62</v>
      </c>
      <c r="F123" s="6">
        <v>8000</v>
      </c>
      <c r="G123" s="6">
        <v>8000</v>
      </c>
      <c r="H123" s="17">
        <f t="shared" si="40"/>
        <v>0</v>
      </c>
      <c r="I123" s="17">
        <f t="shared" si="41"/>
        <v>0</v>
      </c>
      <c r="J123" s="17">
        <f t="shared" si="42"/>
        <v>0</v>
      </c>
      <c r="K123" s="17">
        <f t="shared" si="43"/>
        <v>0</v>
      </c>
      <c r="L123" s="18">
        <f t="shared" si="44"/>
        <v>4960</v>
      </c>
      <c r="M123" s="30" t="s">
        <v>119</v>
      </c>
    </row>
    <row r="124" spans="1:13" ht="31.5">
      <c r="A124" s="128" t="s">
        <v>418</v>
      </c>
      <c r="B124" s="130" t="s">
        <v>419</v>
      </c>
      <c r="C124" s="128" t="s">
        <v>420</v>
      </c>
      <c r="D124" s="128" t="s">
        <v>421</v>
      </c>
      <c r="E124" s="21">
        <v>0.85</v>
      </c>
      <c r="F124" s="6">
        <v>2700</v>
      </c>
      <c r="G124" s="6">
        <v>2700</v>
      </c>
      <c r="H124" s="17">
        <f t="shared" si="40"/>
        <v>0</v>
      </c>
      <c r="I124" s="17">
        <f t="shared" si="41"/>
        <v>0</v>
      </c>
      <c r="J124" s="17">
        <f t="shared" si="42"/>
        <v>0</v>
      </c>
      <c r="K124" s="17">
        <f t="shared" si="43"/>
        <v>0</v>
      </c>
      <c r="L124" s="18">
        <f t="shared" si="44"/>
        <v>2295</v>
      </c>
      <c r="M124" s="30" t="s">
        <v>52</v>
      </c>
    </row>
    <row r="125" spans="1:13" ht="31.5">
      <c r="A125" s="126" t="s">
        <v>422</v>
      </c>
      <c r="B125" s="126" t="s">
        <v>423</v>
      </c>
      <c r="C125" s="126" t="s">
        <v>424</v>
      </c>
      <c r="D125" s="129" t="s">
        <v>190</v>
      </c>
      <c r="E125" s="21">
        <v>29.9</v>
      </c>
      <c r="F125" s="6">
        <v>520</v>
      </c>
      <c r="G125" s="6">
        <v>520</v>
      </c>
      <c r="H125" s="17">
        <f t="shared" ref="H125:H137" si="45">F125-G125</f>
        <v>0</v>
      </c>
      <c r="I125" s="17">
        <f t="shared" ref="I125:I137" si="46">E125*H125</f>
        <v>0</v>
      </c>
      <c r="J125" s="17">
        <f t="shared" ref="J125:J137" si="47">G125-F125</f>
        <v>0</v>
      </c>
      <c r="K125" s="17">
        <f t="shared" ref="K125:K137" si="48">E125*J125</f>
        <v>0</v>
      </c>
      <c r="L125" s="18">
        <f t="shared" ref="L125:L137" si="49">E125*G125</f>
        <v>15548</v>
      </c>
      <c r="M125" s="30" t="s">
        <v>24</v>
      </c>
    </row>
    <row r="126" spans="1:13" ht="47.25">
      <c r="A126" s="128" t="s">
        <v>425</v>
      </c>
      <c r="B126" s="128" t="s">
        <v>426</v>
      </c>
      <c r="C126" s="130" t="s">
        <v>427</v>
      </c>
      <c r="D126" s="128" t="s">
        <v>38</v>
      </c>
      <c r="E126" s="21">
        <v>563.05999999999995</v>
      </c>
      <c r="F126" s="6">
        <v>50</v>
      </c>
      <c r="G126" s="6">
        <v>50</v>
      </c>
      <c r="H126" s="17">
        <f t="shared" si="45"/>
        <v>0</v>
      </c>
      <c r="I126" s="17">
        <f t="shared" si="46"/>
        <v>0</v>
      </c>
      <c r="J126" s="17">
        <f t="shared" si="47"/>
        <v>0</v>
      </c>
      <c r="K126" s="17">
        <f t="shared" si="48"/>
        <v>0</v>
      </c>
      <c r="L126" s="18">
        <f t="shared" si="49"/>
        <v>28153</v>
      </c>
      <c r="M126" s="30" t="s">
        <v>166</v>
      </c>
    </row>
    <row r="127" spans="1:13" ht="31.5">
      <c r="A127" s="128" t="s">
        <v>428</v>
      </c>
      <c r="B127" s="130" t="s">
        <v>429</v>
      </c>
      <c r="C127" s="128" t="s">
        <v>430</v>
      </c>
      <c r="D127" s="128" t="s">
        <v>118</v>
      </c>
      <c r="E127" s="21">
        <v>2.67</v>
      </c>
      <c r="F127" s="6">
        <v>2716</v>
      </c>
      <c r="G127" s="6">
        <v>2716</v>
      </c>
      <c r="H127" s="17">
        <f t="shared" si="45"/>
        <v>0</v>
      </c>
      <c r="I127" s="17">
        <f t="shared" si="46"/>
        <v>0</v>
      </c>
      <c r="J127" s="17">
        <f t="shared" si="47"/>
        <v>0</v>
      </c>
      <c r="K127" s="17">
        <f t="shared" si="48"/>
        <v>0</v>
      </c>
      <c r="L127" s="18">
        <f t="shared" si="49"/>
        <v>7251.72</v>
      </c>
      <c r="M127" s="30" t="s">
        <v>24</v>
      </c>
    </row>
    <row r="128" spans="1:13" ht="31.5">
      <c r="A128" s="128" t="s">
        <v>431</v>
      </c>
      <c r="B128" s="128" t="s">
        <v>429</v>
      </c>
      <c r="C128" s="128" t="s">
        <v>432</v>
      </c>
      <c r="D128" s="140" t="s">
        <v>433</v>
      </c>
      <c r="E128" s="21">
        <v>3.1</v>
      </c>
      <c r="F128" s="6">
        <v>300</v>
      </c>
      <c r="G128" s="6">
        <v>300</v>
      </c>
      <c r="H128" s="17">
        <f t="shared" si="45"/>
        <v>0</v>
      </c>
      <c r="I128" s="17">
        <f t="shared" si="46"/>
        <v>0</v>
      </c>
      <c r="J128" s="17">
        <f t="shared" si="47"/>
        <v>0</v>
      </c>
      <c r="K128" s="17">
        <f t="shared" si="48"/>
        <v>0</v>
      </c>
      <c r="L128" s="18">
        <f t="shared" si="49"/>
        <v>930</v>
      </c>
      <c r="M128" s="30" t="s">
        <v>24</v>
      </c>
    </row>
    <row r="129" spans="1:13" ht="31.5">
      <c r="A129" s="126" t="s">
        <v>434</v>
      </c>
      <c r="B129" s="129" t="s">
        <v>419</v>
      </c>
      <c r="C129" s="129" t="s">
        <v>435</v>
      </c>
      <c r="D129" s="126" t="s">
        <v>118</v>
      </c>
      <c r="E129" s="21">
        <v>10.029999999999999</v>
      </c>
      <c r="F129" s="6">
        <v>3300</v>
      </c>
      <c r="G129" s="6">
        <v>3300</v>
      </c>
      <c r="H129" s="17">
        <f t="shared" si="45"/>
        <v>0</v>
      </c>
      <c r="I129" s="17">
        <f t="shared" si="46"/>
        <v>0</v>
      </c>
      <c r="J129" s="17">
        <f t="shared" si="47"/>
        <v>0</v>
      </c>
      <c r="K129" s="17">
        <f t="shared" si="48"/>
        <v>0</v>
      </c>
      <c r="L129" s="18">
        <f t="shared" si="49"/>
        <v>33099</v>
      </c>
      <c r="M129" s="30" t="s">
        <v>48</v>
      </c>
    </row>
    <row r="130" spans="1:13" ht="31.5">
      <c r="A130" s="133" t="s">
        <v>436</v>
      </c>
      <c r="B130" s="133" t="s">
        <v>437</v>
      </c>
      <c r="C130" s="133" t="s">
        <v>438</v>
      </c>
      <c r="D130" s="133" t="s">
        <v>118</v>
      </c>
      <c r="E130" s="21">
        <v>17.829999999999998</v>
      </c>
      <c r="F130" s="6">
        <v>1470</v>
      </c>
      <c r="G130" s="6">
        <v>1470</v>
      </c>
      <c r="H130" s="17">
        <f t="shared" si="45"/>
        <v>0</v>
      </c>
      <c r="I130" s="17">
        <f t="shared" si="46"/>
        <v>0</v>
      </c>
      <c r="J130" s="17">
        <f t="shared" si="47"/>
        <v>0</v>
      </c>
      <c r="K130" s="17">
        <f t="shared" si="48"/>
        <v>0</v>
      </c>
      <c r="L130" s="18">
        <f t="shared" si="49"/>
        <v>26210.1</v>
      </c>
      <c r="M130" s="30" t="s">
        <v>29</v>
      </c>
    </row>
    <row r="131" spans="1:13" ht="31.5">
      <c r="A131" s="126" t="s">
        <v>439</v>
      </c>
      <c r="B131" s="126" t="s">
        <v>440</v>
      </c>
      <c r="C131" s="126" t="s">
        <v>76</v>
      </c>
      <c r="D131" s="126" t="s">
        <v>118</v>
      </c>
      <c r="E131" s="21">
        <v>12.83</v>
      </c>
      <c r="F131" s="6">
        <v>300</v>
      </c>
      <c r="G131" s="6">
        <v>300</v>
      </c>
      <c r="H131" s="17">
        <f t="shared" si="45"/>
        <v>0</v>
      </c>
      <c r="I131" s="17">
        <f t="shared" si="46"/>
        <v>0</v>
      </c>
      <c r="J131" s="17">
        <f t="shared" si="47"/>
        <v>0</v>
      </c>
      <c r="K131" s="17">
        <f t="shared" si="48"/>
        <v>0</v>
      </c>
      <c r="L131" s="18">
        <f t="shared" si="49"/>
        <v>3849</v>
      </c>
      <c r="M131" s="30" t="s">
        <v>358</v>
      </c>
    </row>
    <row r="132" spans="1:13" ht="31.5">
      <c r="A132" s="126" t="s">
        <v>441</v>
      </c>
      <c r="B132" s="126" t="s">
        <v>442</v>
      </c>
      <c r="C132" s="126" t="s">
        <v>443</v>
      </c>
      <c r="D132" s="126" t="s">
        <v>118</v>
      </c>
      <c r="E132" s="21">
        <v>12.57</v>
      </c>
      <c r="F132" s="6">
        <v>9150</v>
      </c>
      <c r="G132" s="6">
        <v>9150</v>
      </c>
      <c r="H132" s="17">
        <f t="shared" si="45"/>
        <v>0</v>
      </c>
      <c r="I132" s="17">
        <f t="shared" si="46"/>
        <v>0</v>
      </c>
      <c r="J132" s="17">
        <f t="shared" si="47"/>
        <v>0</v>
      </c>
      <c r="K132" s="17">
        <f t="shared" si="48"/>
        <v>0</v>
      </c>
      <c r="L132" s="18">
        <f t="shared" si="49"/>
        <v>115015.5</v>
      </c>
      <c r="M132" s="30" t="s">
        <v>188</v>
      </c>
    </row>
    <row r="133" spans="1:13" ht="31.5">
      <c r="A133" s="126" t="s">
        <v>444</v>
      </c>
      <c r="B133" s="126" t="s">
        <v>442</v>
      </c>
      <c r="C133" s="126" t="s">
        <v>445</v>
      </c>
      <c r="D133" s="126" t="s">
        <v>118</v>
      </c>
      <c r="E133" s="21">
        <v>12.57</v>
      </c>
      <c r="F133" s="6">
        <v>2910</v>
      </c>
      <c r="G133" s="6">
        <v>2910</v>
      </c>
      <c r="H133" s="17">
        <f t="shared" si="45"/>
        <v>0</v>
      </c>
      <c r="I133" s="17">
        <f t="shared" si="46"/>
        <v>0</v>
      </c>
      <c r="J133" s="17">
        <f t="shared" si="47"/>
        <v>0</v>
      </c>
      <c r="K133" s="17">
        <f t="shared" si="48"/>
        <v>0</v>
      </c>
      <c r="L133" s="18">
        <f t="shared" si="49"/>
        <v>36578.699999999997</v>
      </c>
      <c r="M133" s="30" t="s">
        <v>34</v>
      </c>
    </row>
    <row r="134" spans="1:13" ht="31.5">
      <c r="A134" s="128" t="s">
        <v>446</v>
      </c>
      <c r="B134" s="128" t="s">
        <v>447</v>
      </c>
      <c r="C134" s="128" t="s">
        <v>448</v>
      </c>
      <c r="D134" s="128" t="s">
        <v>118</v>
      </c>
      <c r="E134" s="21">
        <v>21.67</v>
      </c>
      <c r="F134" s="6">
        <v>990</v>
      </c>
      <c r="G134" s="6">
        <v>990</v>
      </c>
      <c r="H134" s="17">
        <f t="shared" si="45"/>
        <v>0</v>
      </c>
      <c r="I134" s="17">
        <f t="shared" si="46"/>
        <v>0</v>
      </c>
      <c r="J134" s="17">
        <f t="shared" si="47"/>
        <v>0</v>
      </c>
      <c r="K134" s="17">
        <f t="shared" si="48"/>
        <v>0</v>
      </c>
      <c r="L134" s="18">
        <f t="shared" si="49"/>
        <v>21453.3</v>
      </c>
      <c r="M134" s="30" t="s">
        <v>197</v>
      </c>
    </row>
    <row r="135" spans="1:13">
      <c r="A135" s="126" t="s">
        <v>449</v>
      </c>
      <c r="B135" s="126" t="s">
        <v>450</v>
      </c>
      <c r="C135" s="126" t="s">
        <v>451</v>
      </c>
      <c r="D135" s="126" t="s">
        <v>452</v>
      </c>
      <c r="E135" s="21">
        <v>45.1</v>
      </c>
      <c r="F135" s="6">
        <v>70</v>
      </c>
      <c r="G135" s="6">
        <v>70</v>
      </c>
      <c r="H135" s="17">
        <f t="shared" si="45"/>
        <v>0</v>
      </c>
      <c r="I135" s="17">
        <f t="shared" si="46"/>
        <v>0</v>
      </c>
      <c r="J135" s="17">
        <f t="shared" si="47"/>
        <v>0</v>
      </c>
      <c r="K135" s="17">
        <f t="shared" si="48"/>
        <v>0</v>
      </c>
      <c r="L135" s="18">
        <f t="shared" si="49"/>
        <v>3157</v>
      </c>
      <c r="M135" s="30" t="s">
        <v>139</v>
      </c>
    </row>
    <row r="136" spans="1:13">
      <c r="A136" s="126" t="s">
        <v>453</v>
      </c>
      <c r="B136" s="126" t="s">
        <v>454</v>
      </c>
      <c r="C136" s="126" t="s">
        <v>455</v>
      </c>
      <c r="D136" s="126" t="s">
        <v>456</v>
      </c>
      <c r="E136" s="21">
        <v>50</v>
      </c>
      <c r="F136" s="6">
        <v>164</v>
      </c>
      <c r="G136" s="6">
        <v>164</v>
      </c>
      <c r="H136" s="17">
        <f t="shared" si="45"/>
        <v>0</v>
      </c>
      <c r="I136" s="17">
        <f t="shared" si="46"/>
        <v>0</v>
      </c>
      <c r="J136" s="17">
        <f t="shared" si="47"/>
        <v>0</v>
      </c>
      <c r="K136" s="17">
        <f t="shared" si="48"/>
        <v>0</v>
      </c>
      <c r="L136" s="18">
        <f t="shared" si="49"/>
        <v>8200</v>
      </c>
      <c r="M136" s="30" t="s">
        <v>130</v>
      </c>
    </row>
    <row r="137" spans="1:13">
      <c r="A137" s="126" t="s">
        <v>457</v>
      </c>
      <c r="B137" s="129" t="s">
        <v>245</v>
      </c>
      <c r="C137" s="126" t="s">
        <v>458</v>
      </c>
      <c r="D137" s="126" t="s">
        <v>459</v>
      </c>
      <c r="E137" s="21">
        <v>378</v>
      </c>
      <c r="F137" s="6">
        <v>100</v>
      </c>
      <c r="G137" s="6">
        <v>100</v>
      </c>
      <c r="H137" s="17">
        <f t="shared" si="45"/>
        <v>0</v>
      </c>
      <c r="I137" s="17">
        <f t="shared" si="46"/>
        <v>0</v>
      </c>
      <c r="J137" s="17">
        <f t="shared" si="47"/>
        <v>0</v>
      </c>
      <c r="K137" s="17">
        <f t="shared" si="48"/>
        <v>0</v>
      </c>
      <c r="L137" s="18">
        <f t="shared" si="49"/>
        <v>37800</v>
      </c>
      <c r="M137" s="30" t="s">
        <v>143</v>
      </c>
    </row>
    <row r="138" spans="1:13">
      <c r="A138" s="126" t="s">
        <v>460</v>
      </c>
      <c r="B138" s="126" t="s">
        <v>461</v>
      </c>
      <c r="C138" s="126" t="s">
        <v>462</v>
      </c>
      <c r="D138" s="126" t="s">
        <v>463</v>
      </c>
      <c r="E138" s="21">
        <v>90</v>
      </c>
      <c r="F138" s="6">
        <v>5</v>
      </c>
      <c r="G138" s="6">
        <v>5</v>
      </c>
      <c r="H138" s="17">
        <f t="shared" ref="H138:H145" si="50">F138-G138</f>
        <v>0</v>
      </c>
      <c r="I138" s="17">
        <f t="shared" ref="I138:I145" si="51">E138*H138</f>
        <v>0</v>
      </c>
      <c r="J138" s="17">
        <f t="shared" ref="J138:J145" si="52">G138-F138</f>
        <v>0</v>
      </c>
      <c r="K138" s="17">
        <f t="shared" ref="K138:K145" si="53">E138*J138</f>
        <v>0</v>
      </c>
      <c r="L138" s="18">
        <f t="shared" ref="L138:L145" si="54">E138*G138</f>
        <v>450</v>
      </c>
      <c r="M138" s="30" t="s">
        <v>48</v>
      </c>
    </row>
    <row r="139" spans="1:13" ht="47.25">
      <c r="A139" s="126" t="s">
        <v>464</v>
      </c>
      <c r="B139" s="126" t="s">
        <v>465</v>
      </c>
      <c r="C139" s="126" t="s">
        <v>466</v>
      </c>
      <c r="D139" s="126" t="s">
        <v>467</v>
      </c>
      <c r="E139" s="21">
        <v>160</v>
      </c>
      <c r="F139" s="6">
        <v>100</v>
      </c>
      <c r="G139" s="6">
        <v>100</v>
      </c>
      <c r="H139" s="17">
        <f t="shared" si="50"/>
        <v>0</v>
      </c>
      <c r="I139" s="17">
        <f t="shared" si="51"/>
        <v>0</v>
      </c>
      <c r="J139" s="17">
        <f t="shared" si="52"/>
        <v>0</v>
      </c>
      <c r="K139" s="17">
        <f t="shared" si="53"/>
        <v>0</v>
      </c>
      <c r="L139" s="18">
        <f t="shared" si="54"/>
        <v>16000</v>
      </c>
      <c r="M139" s="30" t="s">
        <v>48</v>
      </c>
    </row>
    <row r="140" spans="1:13" ht="31.5">
      <c r="A140" s="126" t="s">
        <v>468</v>
      </c>
      <c r="B140" s="126" t="s">
        <v>469</v>
      </c>
      <c r="C140" s="126" t="s">
        <v>470</v>
      </c>
      <c r="D140" s="126" t="s">
        <v>471</v>
      </c>
      <c r="E140" s="21">
        <v>263</v>
      </c>
      <c r="F140" s="6">
        <v>105</v>
      </c>
      <c r="G140" s="6">
        <v>105</v>
      </c>
      <c r="H140" s="17">
        <f t="shared" si="50"/>
        <v>0</v>
      </c>
      <c r="I140" s="17">
        <f t="shared" si="51"/>
        <v>0</v>
      </c>
      <c r="J140" s="17">
        <f t="shared" si="52"/>
        <v>0</v>
      </c>
      <c r="K140" s="17">
        <f t="shared" si="53"/>
        <v>0</v>
      </c>
      <c r="L140" s="18">
        <f t="shared" si="54"/>
        <v>27615</v>
      </c>
      <c r="M140" s="30" t="s">
        <v>48</v>
      </c>
    </row>
    <row r="141" spans="1:13">
      <c r="A141" s="126" t="s">
        <v>472</v>
      </c>
      <c r="B141" s="129" t="s">
        <v>473</v>
      </c>
      <c r="C141" s="126" t="s">
        <v>474</v>
      </c>
      <c r="D141" s="126" t="s">
        <v>84</v>
      </c>
      <c r="E141" s="21">
        <v>279.89</v>
      </c>
      <c r="F141" s="6">
        <v>340</v>
      </c>
      <c r="G141" s="6">
        <v>340</v>
      </c>
      <c r="H141" s="17">
        <f t="shared" si="50"/>
        <v>0</v>
      </c>
      <c r="I141" s="17">
        <f t="shared" si="51"/>
        <v>0</v>
      </c>
      <c r="J141" s="17">
        <f t="shared" si="52"/>
        <v>0</v>
      </c>
      <c r="K141" s="17">
        <f t="shared" si="53"/>
        <v>0</v>
      </c>
      <c r="L141" s="18">
        <f t="shared" si="54"/>
        <v>95162.6</v>
      </c>
      <c r="M141" s="30" t="s">
        <v>24</v>
      </c>
    </row>
    <row r="142" spans="1:13">
      <c r="A142" s="126" t="s">
        <v>475</v>
      </c>
      <c r="B142" s="126" t="s">
        <v>476</v>
      </c>
      <c r="C142" s="126" t="s">
        <v>232</v>
      </c>
      <c r="D142" s="126" t="s">
        <v>477</v>
      </c>
      <c r="E142" s="21">
        <v>15</v>
      </c>
      <c r="F142" s="6">
        <v>700</v>
      </c>
      <c r="G142" s="6">
        <v>700</v>
      </c>
      <c r="H142" s="17">
        <f t="shared" si="50"/>
        <v>0</v>
      </c>
      <c r="I142" s="17">
        <f t="shared" si="51"/>
        <v>0</v>
      </c>
      <c r="J142" s="17">
        <f t="shared" si="52"/>
        <v>0</v>
      </c>
      <c r="K142" s="17">
        <f t="shared" si="53"/>
        <v>0</v>
      </c>
      <c r="L142" s="18">
        <f t="shared" si="54"/>
        <v>10500</v>
      </c>
      <c r="M142" s="30" t="s">
        <v>159</v>
      </c>
    </row>
    <row r="143" spans="1:13" ht="47.25">
      <c r="A143" s="128" t="s">
        <v>478</v>
      </c>
      <c r="B143" s="128" t="s">
        <v>479</v>
      </c>
      <c r="C143" s="128" t="s">
        <v>480</v>
      </c>
      <c r="D143" s="130" t="s">
        <v>152</v>
      </c>
      <c r="E143" s="21">
        <v>67.400000000000006</v>
      </c>
      <c r="F143" s="6">
        <v>280</v>
      </c>
      <c r="G143" s="6">
        <v>280</v>
      </c>
      <c r="H143" s="17">
        <f t="shared" si="50"/>
        <v>0</v>
      </c>
      <c r="I143" s="17">
        <f t="shared" si="51"/>
        <v>0</v>
      </c>
      <c r="J143" s="17">
        <f t="shared" si="52"/>
        <v>0</v>
      </c>
      <c r="K143" s="17">
        <f t="shared" si="53"/>
        <v>0</v>
      </c>
      <c r="L143" s="18">
        <f t="shared" si="54"/>
        <v>18872</v>
      </c>
      <c r="M143" s="30" t="s">
        <v>24</v>
      </c>
    </row>
    <row r="144" spans="1:13" ht="31.5">
      <c r="A144" s="126" t="s">
        <v>481</v>
      </c>
      <c r="B144" s="129" t="s">
        <v>482</v>
      </c>
      <c r="C144" s="126" t="s">
        <v>483</v>
      </c>
      <c r="D144" s="129" t="s">
        <v>484</v>
      </c>
      <c r="E144" s="21">
        <v>154</v>
      </c>
      <c r="F144" s="6">
        <v>50</v>
      </c>
      <c r="G144" s="6">
        <v>50</v>
      </c>
      <c r="H144" s="17">
        <f t="shared" si="50"/>
        <v>0</v>
      </c>
      <c r="I144" s="17">
        <f t="shared" si="51"/>
        <v>0</v>
      </c>
      <c r="J144" s="17">
        <f t="shared" si="52"/>
        <v>0</v>
      </c>
      <c r="K144" s="17">
        <f t="shared" si="53"/>
        <v>0</v>
      </c>
      <c r="L144" s="18">
        <f t="shared" si="54"/>
        <v>7700</v>
      </c>
      <c r="M144" s="30" t="s">
        <v>312</v>
      </c>
    </row>
    <row r="145" spans="1:13" s="120" customFormat="1" ht="31.5">
      <c r="A145" s="128" t="s">
        <v>485</v>
      </c>
      <c r="B145" s="130" t="s">
        <v>482</v>
      </c>
      <c r="C145" s="128" t="s">
        <v>486</v>
      </c>
      <c r="D145" s="128" t="s">
        <v>487</v>
      </c>
      <c r="E145" s="21">
        <v>85.99</v>
      </c>
      <c r="F145" s="6">
        <v>870</v>
      </c>
      <c r="G145" s="6">
        <v>870</v>
      </c>
      <c r="H145" s="17">
        <f t="shared" si="50"/>
        <v>0</v>
      </c>
      <c r="I145" s="17">
        <f t="shared" si="51"/>
        <v>0</v>
      </c>
      <c r="J145" s="17">
        <f t="shared" si="52"/>
        <v>0</v>
      </c>
      <c r="K145" s="17">
        <f t="shared" si="53"/>
        <v>0</v>
      </c>
      <c r="L145" s="18">
        <f t="shared" si="54"/>
        <v>74811.3</v>
      </c>
      <c r="M145" s="30" t="s">
        <v>24</v>
      </c>
    </row>
    <row r="146" spans="1:13" ht="31.5">
      <c r="A146" s="126" t="s">
        <v>488</v>
      </c>
      <c r="B146" s="129" t="s">
        <v>489</v>
      </c>
      <c r="C146" s="126" t="s">
        <v>448</v>
      </c>
      <c r="D146" s="126" t="s">
        <v>118</v>
      </c>
      <c r="E146" s="21">
        <v>0.99</v>
      </c>
      <c r="F146" s="6">
        <v>900</v>
      </c>
      <c r="G146" s="6">
        <v>900</v>
      </c>
      <c r="H146" s="17">
        <f t="shared" ref="H146:H167" si="55">F146-G146</f>
        <v>0</v>
      </c>
      <c r="I146" s="17">
        <f t="shared" ref="I146:I167" si="56">E146*H146</f>
        <v>0</v>
      </c>
      <c r="J146" s="17">
        <f t="shared" ref="J146:J167" si="57">G146-F146</f>
        <v>0</v>
      </c>
      <c r="K146" s="17">
        <f t="shared" ref="K146:K167" si="58">E146*J146</f>
        <v>0</v>
      </c>
      <c r="L146" s="18">
        <f t="shared" ref="L146:L167" si="59">E146*G146</f>
        <v>891</v>
      </c>
      <c r="M146" s="30" t="s">
        <v>19</v>
      </c>
    </row>
    <row r="147" spans="1:13">
      <c r="A147" s="126" t="s">
        <v>490</v>
      </c>
      <c r="B147" s="129" t="s">
        <v>491</v>
      </c>
      <c r="C147" s="129" t="s">
        <v>492</v>
      </c>
      <c r="D147" s="126" t="s">
        <v>493</v>
      </c>
      <c r="E147" s="21">
        <v>25.27</v>
      </c>
      <c r="F147" s="6">
        <v>115</v>
      </c>
      <c r="G147" s="6">
        <v>115</v>
      </c>
      <c r="H147" s="17">
        <f t="shared" si="55"/>
        <v>0</v>
      </c>
      <c r="I147" s="17">
        <f t="shared" si="56"/>
        <v>0</v>
      </c>
      <c r="J147" s="17">
        <f t="shared" si="57"/>
        <v>0</v>
      </c>
      <c r="K147" s="17">
        <f t="shared" si="58"/>
        <v>0</v>
      </c>
      <c r="L147" s="18">
        <f t="shared" si="59"/>
        <v>2906.05</v>
      </c>
      <c r="M147" s="30" t="s">
        <v>494</v>
      </c>
    </row>
    <row r="148" spans="1:13">
      <c r="A148" s="126" t="s">
        <v>495</v>
      </c>
      <c r="B148" s="126" t="s">
        <v>496</v>
      </c>
      <c r="C148" s="126" t="s">
        <v>497</v>
      </c>
      <c r="D148" s="126" t="s">
        <v>484</v>
      </c>
      <c r="E148" s="21">
        <v>754</v>
      </c>
      <c r="F148" s="6">
        <v>27</v>
      </c>
      <c r="G148" s="6">
        <v>27</v>
      </c>
      <c r="H148" s="17">
        <f t="shared" si="55"/>
        <v>0</v>
      </c>
      <c r="I148" s="17">
        <f t="shared" si="56"/>
        <v>0</v>
      </c>
      <c r="J148" s="17">
        <f t="shared" si="57"/>
        <v>0</v>
      </c>
      <c r="K148" s="17">
        <f t="shared" si="58"/>
        <v>0</v>
      </c>
      <c r="L148" s="18">
        <f t="shared" si="59"/>
        <v>20358</v>
      </c>
      <c r="M148" s="30"/>
    </row>
    <row r="149" spans="1:13" ht="31.5">
      <c r="A149" s="126" t="s">
        <v>498</v>
      </c>
      <c r="B149" s="126" t="s">
        <v>499</v>
      </c>
      <c r="C149" s="126" t="s">
        <v>500</v>
      </c>
      <c r="D149" s="126" t="s">
        <v>501</v>
      </c>
      <c r="E149" s="21">
        <v>1685</v>
      </c>
      <c r="F149" s="6">
        <v>45</v>
      </c>
      <c r="G149" s="6">
        <v>45</v>
      </c>
      <c r="H149" s="17">
        <f t="shared" si="55"/>
        <v>0</v>
      </c>
      <c r="I149" s="17">
        <f t="shared" si="56"/>
        <v>0</v>
      </c>
      <c r="J149" s="17">
        <f t="shared" si="57"/>
        <v>0</v>
      </c>
      <c r="K149" s="17">
        <f t="shared" si="58"/>
        <v>0</v>
      </c>
      <c r="L149" s="18">
        <f t="shared" si="59"/>
        <v>75825</v>
      </c>
      <c r="M149" s="30" t="s">
        <v>502</v>
      </c>
    </row>
    <row r="150" spans="1:13">
      <c r="A150" s="126" t="s">
        <v>503</v>
      </c>
      <c r="B150" s="126" t="s">
        <v>504</v>
      </c>
      <c r="C150" s="126" t="s">
        <v>27</v>
      </c>
      <c r="D150" s="126" t="s">
        <v>152</v>
      </c>
      <c r="E150" s="21">
        <v>1015.3</v>
      </c>
      <c r="F150" s="6">
        <v>200</v>
      </c>
      <c r="G150" s="6">
        <v>200</v>
      </c>
      <c r="H150" s="17">
        <f t="shared" si="55"/>
        <v>0</v>
      </c>
      <c r="I150" s="17">
        <f t="shared" si="56"/>
        <v>0</v>
      </c>
      <c r="J150" s="17">
        <f t="shared" si="57"/>
        <v>0</v>
      </c>
      <c r="K150" s="17">
        <f t="shared" si="58"/>
        <v>0</v>
      </c>
      <c r="L150" s="18">
        <f t="shared" si="59"/>
        <v>203060</v>
      </c>
      <c r="M150" s="30" t="s">
        <v>19</v>
      </c>
    </row>
    <row r="151" spans="1:13">
      <c r="A151" s="126" t="s">
        <v>505</v>
      </c>
      <c r="B151" s="126" t="s">
        <v>506</v>
      </c>
      <c r="C151" s="126" t="s">
        <v>146</v>
      </c>
      <c r="D151" s="126" t="s">
        <v>185</v>
      </c>
      <c r="E151" s="21">
        <v>3.2</v>
      </c>
      <c r="F151" s="6">
        <v>4600</v>
      </c>
      <c r="G151" s="6">
        <v>4600</v>
      </c>
      <c r="H151" s="17">
        <f t="shared" si="55"/>
        <v>0</v>
      </c>
      <c r="I151" s="17">
        <f t="shared" si="56"/>
        <v>0</v>
      </c>
      <c r="J151" s="17">
        <f t="shared" si="57"/>
        <v>0</v>
      </c>
      <c r="K151" s="17">
        <f t="shared" si="58"/>
        <v>0</v>
      </c>
      <c r="L151" s="18">
        <f t="shared" si="59"/>
        <v>14720</v>
      </c>
      <c r="M151" s="30" t="s">
        <v>124</v>
      </c>
    </row>
    <row r="152" spans="1:13">
      <c r="A152" s="128" t="s">
        <v>507</v>
      </c>
      <c r="B152" s="130" t="s">
        <v>508</v>
      </c>
      <c r="C152" s="128" t="s">
        <v>509</v>
      </c>
      <c r="D152" s="128" t="s">
        <v>185</v>
      </c>
      <c r="E152" s="21">
        <v>4</v>
      </c>
      <c r="F152" s="6">
        <v>4710</v>
      </c>
      <c r="G152" s="6">
        <v>4710</v>
      </c>
      <c r="H152" s="17">
        <f t="shared" si="55"/>
        <v>0</v>
      </c>
      <c r="I152" s="17">
        <f t="shared" si="56"/>
        <v>0</v>
      </c>
      <c r="J152" s="17">
        <f t="shared" si="57"/>
        <v>0</v>
      </c>
      <c r="K152" s="17">
        <f t="shared" si="58"/>
        <v>0</v>
      </c>
      <c r="L152" s="18">
        <f t="shared" si="59"/>
        <v>18840</v>
      </c>
      <c r="M152" s="30" t="s">
        <v>510</v>
      </c>
    </row>
    <row r="153" spans="1:13" ht="31.5">
      <c r="A153" s="126" t="s">
        <v>511</v>
      </c>
      <c r="B153" s="126" t="s">
        <v>512</v>
      </c>
      <c r="C153" s="126" t="s">
        <v>513</v>
      </c>
      <c r="D153" s="126" t="s">
        <v>514</v>
      </c>
      <c r="E153" s="21">
        <v>28030</v>
      </c>
      <c r="F153" s="6">
        <v>5</v>
      </c>
      <c r="G153" s="6">
        <v>5</v>
      </c>
      <c r="H153" s="17">
        <f t="shared" si="55"/>
        <v>0</v>
      </c>
      <c r="I153" s="17">
        <f t="shared" si="56"/>
        <v>0</v>
      </c>
      <c r="J153" s="17">
        <f t="shared" si="57"/>
        <v>0</v>
      </c>
      <c r="K153" s="17">
        <f t="shared" si="58"/>
        <v>0</v>
      </c>
      <c r="L153" s="18">
        <f t="shared" si="59"/>
        <v>140150</v>
      </c>
      <c r="M153" s="30" t="s">
        <v>336</v>
      </c>
    </row>
    <row r="154" spans="1:13" ht="31.5">
      <c r="A154" s="126" t="s">
        <v>515</v>
      </c>
      <c r="B154" s="129" t="s">
        <v>516</v>
      </c>
      <c r="C154" s="126" t="s">
        <v>517</v>
      </c>
      <c r="D154" s="126" t="s">
        <v>518</v>
      </c>
      <c r="E154" s="21">
        <v>140</v>
      </c>
      <c r="F154" s="6">
        <v>185</v>
      </c>
      <c r="G154" s="6">
        <v>185</v>
      </c>
      <c r="H154" s="17">
        <f t="shared" si="55"/>
        <v>0</v>
      </c>
      <c r="I154" s="17">
        <f t="shared" si="56"/>
        <v>0</v>
      </c>
      <c r="J154" s="17">
        <f t="shared" si="57"/>
        <v>0</v>
      </c>
      <c r="K154" s="17">
        <f t="shared" si="58"/>
        <v>0</v>
      </c>
      <c r="L154" s="18">
        <f t="shared" si="59"/>
        <v>25900</v>
      </c>
      <c r="M154" s="30" t="s">
        <v>139</v>
      </c>
    </row>
    <row r="155" spans="1:13" ht="47.25">
      <c r="A155" s="128" t="s">
        <v>519</v>
      </c>
      <c r="B155" s="128" t="s">
        <v>520</v>
      </c>
      <c r="C155" s="128" t="s">
        <v>521</v>
      </c>
      <c r="D155" s="128" t="s">
        <v>522</v>
      </c>
      <c r="E155" s="21">
        <v>79</v>
      </c>
      <c r="F155" s="6">
        <v>250</v>
      </c>
      <c r="G155" s="6">
        <v>250</v>
      </c>
      <c r="H155" s="17">
        <f t="shared" si="55"/>
        <v>0</v>
      </c>
      <c r="I155" s="17">
        <f t="shared" si="56"/>
        <v>0</v>
      </c>
      <c r="J155" s="17">
        <f t="shared" si="57"/>
        <v>0</v>
      </c>
      <c r="K155" s="17">
        <f t="shared" si="58"/>
        <v>0</v>
      </c>
      <c r="L155" s="18">
        <f t="shared" si="59"/>
        <v>19750</v>
      </c>
      <c r="M155" s="30" t="s">
        <v>358</v>
      </c>
    </row>
    <row r="156" spans="1:13" ht="31.5">
      <c r="A156" s="126" t="s">
        <v>523</v>
      </c>
      <c r="B156" s="129" t="s">
        <v>524</v>
      </c>
      <c r="C156" s="126" t="s">
        <v>525</v>
      </c>
      <c r="D156" s="126" t="s">
        <v>250</v>
      </c>
      <c r="E156" s="21">
        <v>92.69</v>
      </c>
      <c r="F156" s="6">
        <v>570</v>
      </c>
      <c r="G156" s="6">
        <v>570</v>
      </c>
      <c r="H156" s="17">
        <f t="shared" si="55"/>
        <v>0</v>
      </c>
      <c r="I156" s="17">
        <f t="shared" si="56"/>
        <v>0</v>
      </c>
      <c r="J156" s="17">
        <f t="shared" si="57"/>
        <v>0</v>
      </c>
      <c r="K156" s="17">
        <f t="shared" si="58"/>
        <v>0</v>
      </c>
      <c r="L156" s="18">
        <f t="shared" si="59"/>
        <v>52833.3</v>
      </c>
      <c r="M156" s="30" t="s">
        <v>526</v>
      </c>
    </row>
    <row r="157" spans="1:13" ht="78.75">
      <c r="A157" s="126" t="s">
        <v>527</v>
      </c>
      <c r="B157" s="131" t="s">
        <v>528</v>
      </c>
      <c r="C157" s="126" t="s">
        <v>529</v>
      </c>
      <c r="D157" s="126" t="s">
        <v>530</v>
      </c>
      <c r="E157" s="21">
        <v>7</v>
      </c>
      <c r="F157" s="6">
        <v>200</v>
      </c>
      <c r="G157" s="6">
        <v>200</v>
      </c>
      <c r="H157" s="17">
        <f t="shared" si="55"/>
        <v>0</v>
      </c>
      <c r="I157" s="17">
        <f t="shared" si="56"/>
        <v>0</v>
      </c>
      <c r="J157" s="17">
        <f t="shared" si="57"/>
        <v>0</v>
      </c>
      <c r="K157" s="17">
        <f t="shared" si="58"/>
        <v>0</v>
      </c>
      <c r="L157" s="18">
        <f t="shared" si="59"/>
        <v>1400</v>
      </c>
      <c r="M157" s="30" t="s">
        <v>197</v>
      </c>
    </row>
    <row r="158" spans="1:13" ht="31.5">
      <c r="A158" s="128" t="s">
        <v>531</v>
      </c>
      <c r="B158" s="128" t="s">
        <v>532</v>
      </c>
      <c r="C158" s="128" t="s">
        <v>533</v>
      </c>
      <c r="D158" s="128" t="s">
        <v>118</v>
      </c>
      <c r="E158" s="21">
        <v>4.74</v>
      </c>
      <c r="F158" s="6">
        <v>7400</v>
      </c>
      <c r="G158" s="6">
        <v>7400</v>
      </c>
      <c r="H158" s="17">
        <f t="shared" si="55"/>
        <v>0</v>
      </c>
      <c r="I158" s="17">
        <f t="shared" si="56"/>
        <v>0</v>
      </c>
      <c r="J158" s="17">
        <f t="shared" si="57"/>
        <v>0</v>
      </c>
      <c r="K158" s="17">
        <f t="shared" si="58"/>
        <v>0</v>
      </c>
      <c r="L158" s="18">
        <f t="shared" si="59"/>
        <v>35076</v>
      </c>
      <c r="M158" s="30" t="s">
        <v>159</v>
      </c>
    </row>
    <row r="159" spans="1:13" ht="63">
      <c r="A159" s="128" t="s">
        <v>534</v>
      </c>
      <c r="B159" s="128" t="s">
        <v>535</v>
      </c>
      <c r="C159" s="128" t="s">
        <v>536</v>
      </c>
      <c r="D159" s="128" t="s">
        <v>537</v>
      </c>
      <c r="E159" s="21">
        <v>524</v>
      </c>
      <c r="F159" s="6">
        <v>210</v>
      </c>
      <c r="G159" s="6">
        <v>210</v>
      </c>
      <c r="H159" s="17">
        <f t="shared" si="55"/>
        <v>0</v>
      </c>
      <c r="I159" s="17">
        <f t="shared" si="56"/>
        <v>0</v>
      </c>
      <c r="J159" s="17">
        <f t="shared" si="57"/>
        <v>0</v>
      </c>
      <c r="K159" s="17">
        <f t="shared" si="58"/>
        <v>0</v>
      </c>
      <c r="L159" s="18">
        <f t="shared" si="59"/>
        <v>110040</v>
      </c>
      <c r="M159" s="30" t="s">
        <v>24</v>
      </c>
    </row>
    <row r="160" spans="1:13">
      <c r="A160" s="126"/>
      <c r="B160" s="129" t="s">
        <v>538</v>
      </c>
      <c r="C160" s="126" t="s">
        <v>539</v>
      </c>
      <c r="D160" s="126" t="s">
        <v>185</v>
      </c>
      <c r="E160" s="21">
        <v>0.9</v>
      </c>
      <c r="F160" s="6">
        <v>3200</v>
      </c>
      <c r="G160" s="6">
        <v>3200</v>
      </c>
      <c r="H160" s="17">
        <f t="shared" si="55"/>
        <v>0</v>
      </c>
      <c r="I160" s="17">
        <f t="shared" si="56"/>
        <v>0</v>
      </c>
      <c r="J160" s="17">
        <f t="shared" si="57"/>
        <v>0</v>
      </c>
      <c r="K160" s="17">
        <f t="shared" si="58"/>
        <v>0</v>
      </c>
      <c r="L160" s="18">
        <f t="shared" si="59"/>
        <v>2880</v>
      </c>
      <c r="M160" s="30" t="s">
        <v>540</v>
      </c>
    </row>
    <row r="161" spans="1:13" ht="31.5">
      <c r="A161" s="126" t="s">
        <v>541</v>
      </c>
      <c r="B161" s="129" t="s">
        <v>516</v>
      </c>
      <c r="C161" s="126" t="s">
        <v>542</v>
      </c>
      <c r="D161" s="126" t="s">
        <v>118</v>
      </c>
      <c r="E161" s="21">
        <v>14.67</v>
      </c>
      <c r="F161" s="6">
        <v>1050</v>
      </c>
      <c r="G161" s="6">
        <v>1050</v>
      </c>
      <c r="H161" s="17">
        <f t="shared" si="55"/>
        <v>0</v>
      </c>
      <c r="I161" s="17">
        <f t="shared" si="56"/>
        <v>0</v>
      </c>
      <c r="J161" s="17">
        <f t="shared" si="57"/>
        <v>0</v>
      </c>
      <c r="K161" s="17">
        <f t="shared" si="58"/>
        <v>0</v>
      </c>
      <c r="L161" s="18">
        <f t="shared" si="59"/>
        <v>15403.5</v>
      </c>
      <c r="M161" s="30" t="s">
        <v>289</v>
      </c>
    </row>
    <row r="162" spans="1:13" ht="31.5">
      <c r="A162" s="126" t="s">
        <v>543</v>
      </c>
      <c r="B162" s="126" t="s">
        <v>544</v>
      </c>
      <c r="C162" s="131" t="s">
        <v>545</v>
      </c>
      <c r="D162" s="126" t="s">
        <v>546</v>
      </c>
      <c r="E162" s="21">
        <v>13</v>
      </c>
      <c r="F162" s="6">
        <v>300</v>
      </c>
      <c r="G162" s="6">
        <v>300</v>
      </c>
      <c r="H162" s="17">
        <f t="shared" si="55"/>
        <v>0</v>
      </c>
      <c r="I162" s="17">
        <f t="shared" si="56"/>
        <v>0</v>
      </c>
      <c r="J162" s="17">
        <f t="shared" si="57"/>
        <v>0</v>
      </c>
      <c r="K162" s="17">
        <f t="shared" si="58"/>
        <v>0</v>
      </c>
      <c r="L162" s="18">
        <f t="shared" si="59"/>
        <v>3900</v>
      </c>
      <c r="M162" s="30" t="s">
        <v>139</v>
      </c>
    </row>
    <row r="163" spans="1:13" ht="31.5">
      <c r="A163" s="126" t="s">
        <v>547</v>
      </c>
      <c r="B163" s="126" t="s">
        <v>548</v>
      </c>
      <c r="C163" s="126" t="s">
        <v>549</v>
      </c>
      <c r="D163" s="129" t="s">
        <v>550</v>
      </c>
      <c r="E163" s="21">
        <v>2750</v>
      </c>
      <c r="F163" s="6">
        <v>4</v>
      </c>
      <c r="G163" s="6">
        <v>4</v>
      </c>
      <c r="H163" s="17">
        <f t="shared" si="55"/>
        <v>0</v>
      </c>
      <c r="I163" s="17">
        <f t="shared" si="56"/>
        <v>0</v>
      </c>
      <c r="J163" s="17">
        <f t="shared" si="57"/>
        <v>0</v>
      </c>
      <c r="K163" s="17">
        <f t="shared" si="58"/>
        <v>0</v>
      </c>
      <c r="L163" s="18">
        <f t="shared" si="59"/>
        <v>11000</v>
      </c>
      <c r="M163" s="30" t="s">
        <v>135</v>
      </c>
    </row>
    <row r="164" spans="1:13">
      <c r="A164" s="128" t="s">
        <v>551</v>
      </c>
      <c r="B164" s="128" t="s">
        <v>552</v>
      </c>
      <c r="C164" s="128" t="s">
        <v>553</v>
      </c>
      <c r="D164" s="130" t="s">
        <v>550</v>
      </c>
      <c r="E164" s="21">
        <v>899</v>
      </c>
      <c r="F164" s="6">
        <v>4</v>
      </c>
      <c r="G164" s="6">
        <v>4</v>
      </c>
      <c r="H164" s="17">
        <f t="shared" si="55"/>
        <v>0</v>
      </c>
      <c r="I164" s="17">
        <f t="shared" si="56"/>
        <v>0</v>
      </c>
      <c r="J164" s="17">
        <f t="shared" si="57"/>
        <v>0</v>
      </c>
      <c r="K164" s="17">
        <f t="shared" si="58"/>
        <v>0</v>
      </c>
      <c r="L164" s="18">
        <f t="shared" si="59"/>
        <v>3596</v>
      </c>
      <c r="M164" s="30" t="s">
        <v>554</v>
      </c>
    </row>
    <row r="165" spans="1:13" ht="31.5">
      <c r="A165" s="126" t="s">
        <v>555</v>
      </c>
      <c r="B165" s="126" t="s">
        <v>556</v>
      </c>
      <c r="C165" s="126" t="s">
        <v>557</v>
      </c>
      <c r="D165" s="126" t="s">
        <v>558</v>
      </c>
      <c r="E165" s="21">
        <v>100</v>
      </c>
      <c r="F165" s="6">
        <v>30</v>
      </c>
      <c r="G165" s="6">
        <v>30</v>
      </c>
      <c r="H165" s="17">
        <f t="shared" si="55"/>
        <v>0</v>
      </c>
      <c r="I165" s="17">
        <f t="shared" si="56"/>
        <v>0</v>
      </c>
      <c r="J165" s="17">
        <f t="shared" si="57"/>
        <v>0</v>
      </c>
      <c r="K165" s="17">
        <f t="shared" si="58"/>
        <v>0</v>
      </c>
      <c r="L165" s="18">
        <f t="shared" si="59"/>
        <v>3000</v>
      </c>
      <c r="M165" s="30" t="s">
        <v>188</v>
      </c>
    </row>
    <row r="166" spans="1:13">
      <c r="A166" s="133" t="s">
        <v>559</v>
      </c>
      <c r="B166" s="133" t="s">
        <v>556</v>
      </c>
      <c r="C166" s="133" t="s">
        <v>560</v>
      </c>
      <c r="D166" s="133" t="s">
        <v>561</v>
      </c>
      <c r="E166" s="21">
        <v>340</v>
      </c>
      <c r="F166" s="6">
        <v>155</v>
      </c>
      <c r="G166" s="6">
        <v>155</v>
      </c>
      <c r="H166" s="17">
        <f t="shared" si="55"/>
        <v>0</v>
      </c>
      <c r="I166" s="17">
        <f t="shared" si="56"/>
        <v>0</v>
      </c>
      <c r="J166" s="17">
        <f t="shared" si="57"/>
        <v>0</v>
      </c>
      <c r="K166" s="17">
        <f t="shared" si="58"/>
        <v>0</v>
      </c>
      <c r="L166" s="18">
        <f t="shared" si="59"/>
        <v>52700</v>
      </c>
      <c r="M166" s="30" t="s">
        <v>52</v>
      </c>
    </row>
    <row r="167" spans="1:13" s="120" customFormat="1" ht="47.25">
      <c r="A167" s="128" t="s">
        <v>562</v>
      </c>
      <c r="B167" s="128" t="s">
        <v>563</v>
      </c>
      <c r="C167" s="128" t="s">
        <v>564</v>
      </c>
      <c r="D167" s="128" t="s">
        <v>487</v>
      </c>
      <c r="E167" s="21">
        <v>4418.5</v>
      </c>
      <c r="F167" s="6">
        <v>8</v>
      </c>
      <c r="G167" s="6">
        <v>8</v>
      </c>
      <c r="H167" s="5">
        <f t="shared" si="55"/>
        <v>0</v>
      </c>
      <c r="I167" s="5">
        <f t="shared" si="56"/>
        <v>0</v>
      </c>
      <c r="J167" s="5">
        <f t="shared" si="57"/>
        <v>0</v>
      </c>
      <c r="K167" s="5">
        <f t="shared" si="58"/>
        <v>0</v>
      </c>
      <c r="L167" s="11">
        <f t="shared" si="59"/>
        <v>35348</v>
      </c>
      <c r="M167" s="12" t="s">
        <v>143</v>
      </c>
    </row>
    <row r="168" spans="1:13" ht="31.5">
      <c r="A168" s="126" t="s">
        <v>565</v>
      </c>
      <c r="B168" s="126" t="s">
        <v>566</v>
      </c>
      <c r="C168" s="126" t="s">
        <v>567</v>
      </c>
      <c r="D168" s="126" t="s">
        <v>23</v>
      </c>
      <c r="E168" s="21">
        <v>63</v>
      </c>
      <c r="F168" s="6">
        <v>250</v>
      </c>
      <c r="G168" s="6">
        <v>250</v>
      </c>
      <c r="H168" s="17">
        <f t="shared" ref="H168:H183" si="60">F168-G168</f>
        <v>0</v>
      </c>
      <c r="I168" s="17">
        <f t="shared" ref="I168:I183" si="61">E168*H168</f>
        <v>0</v>
      </c>
      <c r="J168" s="17">
        <f t="shared" ref="J168:J183" si="62">G168-F168</f>
        <v>0</v>
      </c>
      <c r="K168" s="17">
        <f t="shared" ref="K168:K183" si="63">E168*J168</f>
        <v>0</v>
      </c>
      <c r="L168" s="18">
        <f t="shared" ref="L168:L183" si="64">E168*G168</f>
        <v>15750</v>
      </c>
      <c r="M168" s="30" t="s">
        <v>19</v>
      </c>
    </row>
    <row r="169" spans="1:13">
      <c r="A169" s="126" t="s">
        <v>568</v>
      </c>
      <c r="B169" s="126" t="s">
        <v>569</v>
      </c>
      <c r="C169" s="126" t="s">
        <v>570</v>
      </c>
      <c r="D169" s="126" t="s">
        <v>571</v>
      </c>
      <c r="E169" s="21">
        <v>58</v>
      </c>
      <c r="F169" s="6">
        <v>870</v>
      </c>
      <c r="G169" s="6">
        <v>870</v>
      </c>
      <c r="H169" s="17">
        <f t="shared" si="60"/>
        <v>0</v>
      </c>
      <c r="I169" s="17">
        <f t="shared" si="61"/>
        <v>0</v>
      </c>
      <c r="J169" s="17">
        <f t="shared" si="62"/>
        <v>0</v>
      </c>
      <c r="K169" s="17">
        <f t="shared" si="63"/>
        <v>0</v>
      </c>
      <c r="L169" s="18">
        <f t="shared" si="64"/>
        <v>50460</v>
      </c>
      <c r="M169" s="30" t="s">
        <v>166</v>
      </c>
    </row>
    <row r="170" spans="1:13" ht="47.25">
      <c r="A170" s="126" t="s">
        <v>572</v>
      </c>
      <c r="B170" s="126" t="s">
        <v>569</v>
      </c>
      <c r="C170" s="126" t="s">
        <v>573</v>
      </c>
      <c r="D170" s="126" t="s">
        <v>574</v>
      </c>
      <c r="E170" s="21">
        <v>58</v>
      </c>
      <c r="F170" s="6">
        <v>630</v>
      </c>
      <c r="G170" s="6">
        <v>630</v>
      </c>
      <c r="H170" s="17">
        <f t="shared" si="60"/>
        <v>0</v>
      </c>
      <c r="I170" s="17">
        <f t="shared" si="61"/>
        <v>0</v>
      </c>
      <c r="J170" s="17">
        <f t="shared" si="62"/>
        <v>0</v>
      </c>
      <c r="K170" s="17">
        <f t="shared" si="63"/>
        <v>0</v>
      </c>
      <c r="L170" s="18">
        <f t="shared" si="64"/>
        <v>36540</v>
      </c>
      <c r="M170" s="30" t="s">
        <v>575</v>
      </c>
    </row>
    <row r="171" spans="1:13">
      <c r="A171" s="126" t="s">
        <v>576</v>
      </c>
      <c r="B171" s="129" t="s">
        <v>569</v>
      </c>
      <c r="C171" s="126" t="s">
        <v>577</v>
      </c>
      <c r="D171" s="126" t="s">
        <v>23</v>
      </c>
      <c r="E171" s="21">
        <v>55</v>
      </c>
      <c r="F171" s="6">
        <v>190</v>
      </c>
      <c r="G171" s="6">
        <v>190</v>
      </c>
      <c r="H171" s="17">
        <f t="shared" si="60"/>
        <v>0</v>
      </c>
      <c r="I171" s="17">
        <f t="shared" si="61"/>
        <v>0</v>
      </c>
      <c r="J171" s="17">
        <f t="shared" si="62"/>
        <v>0</v>
      </c>
      <c r="K171" s="17">
        <f t="shared" si="63"/>
        <v>0</v>
      </c>
      <c r="L171" s="18">
        <f t="shared" si="64"/>
        <v>10450</v>
      </c>
      <c r="M171" s="30" t="s">
        <v>578</v>
      </c>
    </row>
    <row r="172" spans="1:13" ht="63">
      <c r="A172" s="128" t="s">
        <v>579</v>
      </c>
      <c r="B172" s="128" t="s">
        <v>580</v>
      </c>
      <c r="C172" s="128" t="s">
        <v>581</v>
      </c>
      <c r="D172" s="128" t="s">
        <v>582</v>
      </c>
      <c r="E172" s="21">
        <v>58</v>
      </c>
      <c r="F172" s="6">
        <v>3930</v>
      </c>
      <c r="G172" s="6">
        <v>3930</v>
      </c>
      <c r="H172" s="17">
        <f t="shared" si="60"/>
        <v>0</v>
      </c>
      <c r="I172" s="17">
        <f t="shared" si="61"/>
        <v>0</v>
      </c>
      <c r="J172" s="17">
        <f t="shared" si="62"/>
        <v>0</v>
      </c>
      <c r="K172" s="17">
        <f t="shared" si="63"/>
        <v>0</v>
      </c>
      <c r="L172" s="18">
        <f t="shared" si="64"/>
        <v>227940</v>
      </c>
      <c r="M172" s="30" t="s">
        <v>583</v>
      </c>
    </row>
    <row r="173" spans="1:13">
      <c r="A173" s="128" t="s">
        <v>584</v>
      </c>
      <c r="B173" s="128" t="s">
        <v>585</v>
      </c>
      <c r="C173" s="128" t="s">
        <v>586</v>
      </c>
      <c r="D173" s="128" t="s">
        <v>561</v>
      </c>
      <c r="E173" s="21">
        <v>53</v>
      </c>
      <c r="F173" s="6">
        <v>990</v>
      </c>
      <c r="G173" s="6">
        <v>990</v>
      </c>
      <c r="H173" s="17">
        <f t="shared" si="60"/>
        <v>0</v>
      </c>
      <c r="I173" s="17">
        <f t="shared" si="61"/>
        <v>0</v>
      </c>
      <c r="J173" s="17">
        <f t="shared" si="62"/>
        <v>0</v>
      </c>
      <c r="K173" s="17">
        <f t="shared" si="63"/>
        <v>0</v>
      </c>
      <c r="L173" s="18">
        <f t="shared" si="64"/>
        <v>52470</v>
      </c>
      <c r="M173" s="30" t="s">
        <v>587</v>
      </c>
    </row>
    <row r="174" spans="1:13" ht="31.5">
      <c r="A174" s="126"/>
      <c r="B174" s="126" t="s">
        <v>585</v>
      </c>
      <c r="C174" s="126" t="s">
        <v>586</v>
      </c>
      <c r="D174" s="126" t="s">
        <v>588</v>
      </c>
      <c r="E174" s="21">
        <v>400</v>
      </c>
      <c r="F174" s="6">
        <v>80</v>
      </c>
      <c r="G174" s="6">
        <v>80</v>
      </c>
      <c r="H174" s="17">
        <f t="shared" si="60"/>
        <v>0</v>
      </c>
      <c r="I174" s="17">
        <f t="shared" si="61"/>
        <v>0</v>
      </c>
      <c r="J174" s="17">
        <f t="shared" si="62"/>
        <v>0</v>
      </c>
      <c r="K174" s="17">
        <f t="shared" si="63"/>
        <v>0</v>
      </c>
      <c r="L174" s="18">
        <f t="shared" si="64"/>
        <v>32000</v>
      </c>
      <c r="M174" s="30" t="s">
        <v>48</v>
      </c>
    </row>
    <row r="175" spans="1:13" ht="31.5">
      <c r="A175" s="126"/>
      <c r="B175" s="126" t="s">
        <v>585</v>
      </c>
      <c r="C175" s="126" t="s">
        <v>586</v>
      </c>
      <c r="D175" s="126" t="s">
        <v>589</v>
      </c>
      <c r="E175" s="21">
        <v>800</v>
      </c>
      <c r="F175" s="6">
        <v>80</v>
      </c>
      <c r="G175" s="6">
        <v>80</v>
      </c>
      <c r="H175" s="17">
        <f t="shared" si="60"/>
        <v>0</v>
      </c>
      <c r="I175" s="17">
        <f t="shared" si="61"/>
        <v>0</v>
      </c>
      <c r="J175" s="17">
        <f t="shared" si="62"/>
        <v>0</v>
      </c>
      <c r="K175" s="17">
        <f t="shared" si="63"/>
        <v>0</v>
      </c>
      <c r="L175" s="18">
        <f t="shared" si="64"/>
        <v>64000</v>
      </c>
      <c r="M175" s="30" t="s">
        <v>78</v>
      </c>
    </row>
    <row r="176" spans="1:13">
      <c r="A176" s="126" t="s">
        <v>590</v>
      </c>
      <c r="B176" s="126" t="s">
        <v>591</v>
      </c>
      <c r="C176" s="126" t="s">
        <v>592</v>
      </c>
      <c r="D176" s="126" t="s">
        <v>185</v>
      </c>
      <c r="E176" s="21">
        <v>19</v>
      </c>
      <c r="F176" s="6">
        <v>600</v>
      </c>
      <c r="G176" s="6">
        <v>600</v>
      </c>
      <c r="H176" s="17">
        <f t="shared" si="60"/>
        <v>0</v>
      </c>
      <c r="I176" s="17">
        <f t="shared" si="61"/>
        <v>0</v>
      </c>
      <c r="J176" s="17">
        <f t="shared" si="62"/>
        <v>0</v>
      </c>
      <c r="K176" s="17">
        <f t="shared" si="63"/>
        <v>0</v>
      </c>
      <c r="L176" s="18">
        <f t="shared" si="64"/>
        <v>11400</v>
      </c>
      <c r="M176" s="30" t="s">
        <v>124</v>
      </c>
    </row>
    <row r="177" spans="1:13">
      <c r="A177" s="126" t="s">
        <v>593</v>
      </c>
      <c r="B177" s="126" t="s">
        <v>585</v>
      </c>
      <c r="C177" s="126" t="s">
        <v>594</v>
      </c>
      <c r="D177" s="126" t="s">
        <v>595</v>
      </c>
      <c r="E177" s="21">
        <v>490</v>
      </c>
      <c r="F177" s="6">
        <v>1150</v>
      </c>
      <c r="G177" s="6">
        <v>1150</v>
      </c>
      <c r="H177" s="17">
        <f t="shared" si="60"/>
        <v>0</v>
      </c>
      <c r="I177" s="17">
        <f t="shared" si="61"/>
        <v>0</v>
      </c>
      <c r="J177" s="17">
        <f t="shared" si="62"/>
        <v>0</v>
      </c>
      <c r="K177" s="17">
        <f t="shared" si="63"/>
        <v>0</v>
      </c>
      <c r="L177" s="18">
        <f t="shared" si="64"/>
        <v>563500</v>
      </c>
      <c r="M177" s="30" t="s">
        <v>596</v>
      </c>
    </row>
    <row r="178" spans="1:13">
      <c r="A178" s="126" t="s">
        <v>597</v>
      </c>
      <c r="B178" s="126" t="s">
        <v>598</v>
      </c>
      <c r="C178" s="126" t="s">
        <v>599</v>
      </c>
      <c r="D178" s="126" t="s">
        <v>114</v>
      </c>
      <c r="E178" s="21">
        <v>2900</v>
      </c>
      <c r="F178" s="6">
        <v>3</v>
      </c>
      <c r="G178" s="6">
        <v>3</v>
      </c>
      <c r="H178" s="17">
        <f t="shared" si="60"/>
        <v>0</v>
      </c>
      <c r="I178" s="17">
        <f t="shared" si="61"/>
        <v>0</v>
      </c>
      <c r="J178" s="17">
        <f t="shared" si="62"/>
        <v>0</v>
      </c>
      <c r="K178" s="17">
        <f t="shared" si="63"/>
        <v>0</v>
      </c>
      <c r="L178" s="18">
        <f t="shared" si="64"/>
        <v>8700</v>
      </c>
      <c r="M178" s="30" t="s">
        <v>29</v>
      </c>
    </row>
    <row r="179" spans="1:13" ht="31.5">
      <c r="A179" s="126" t="s">
        <v>600</v>
      </c>
      <c r="B179" s="126" t="s">
        <v>601</v>
      </c>
      <c r="C179" s="126" t="s">
        <v>602</v>
      </c>
      <c r="D179" s="126" t="s">
        <v>603</v>
      </c>
      <c r="E179" s="21">
        <v>6500</v>
      </c>
      <c r="F179" s="6">
        <v>40</v>
      </c>
      <c r="G179" s="6">
        <v>40</v>
      </c>
      <c r="H179" s="17">
        <f t="shared" si="60"/>
        <v>0</v>
      </c>
      <c r="I179" s="17">
        <f t="shared" si="61"/>
        <v>0</v>
      </c>
      <c r="J179" s="17">
        <f t="shared" si="62"/>
        <v>0</v>
      </c>
      <c r="K179" s="17">
        <f t="shared" si="63"/>
        <v>0</v>
      </c>
      <c r="L179" s="18">
        <f t="shared" si="64"/>
        <v>260000</v>
      </c>
      <c r="M179" s="30" t="s">
        <v>234</v>
      </c>
    </row>
    <row r="180" spans="1:13" ht="47.25">
      <c r="A180" s="126" t="s">
        <v>604</v>
      </c>
      <c r="B180" s="126" t="s">
        <v>605</v>
      </c>
      <c r="C180" s="131" t="s">
        <v>606</v>
      </c>
      <c r="D180" s="126" t="s">
        <v>607</v>
      </c>
      <c r="E180" s="21">
        <v>1224</v>
      </c>
      <c r="F180" s="6">
        <v>40</v>
      </c>
      <c r="G180" s="6">
        <v>40</v>
      </c>
      <c r="H180" s="17">
        <f t="shared" si="60"/>
        <v>0</v>
      </c>
      <c r="I180" s="17">
        <f t="shared" si="61"/>
        <v>0</v>
      </c>
      <c r="J180" s="17">
        <f t="shared" si="62"/>
        <v>0</v>
      </c>
      <c r="K180" s="17">
        <f t="shared" si="63"/>
        <v>0</v>
      </c>
      <c r="L180" s="18">
        <f t="shared" si="64"/>
        <v>48960</v>
      </c>
      <c r="M180" s="30" t="s">
        <v>29</v>
      </c>
    </row>
    <row r="181" spans="1:13" ht="31.5">
      <c r="A181" s="126" t="s">
        <v>608</v>
      </c>
      <c r="B181" s="126" t="s">
        <v>609</v>
      </c>
      <c r="C181" s="126" t="s">
        <v>610</v>
      </c>
      <c r="D181" s="126" t="s">
        <v>611</v>
      </c>
      <c r="E181" s="21">
        <v>4250</v>
      </c>
      <c r="F181" s="6">
        <v>3</v>
      </c>
      <c r="G181" s="6">
        <v>3</v>
      </c>
      <c r="H181" s="17">
        <f t="shared" si="60"/>
        <v>0</v>
      </c>
      <c r="I181" s="17">
        <f t="shared" si="61"/>
        <v>0</v>
      </c>
      <c r="J181" s="17">
        <f t="shared" si="62"/>
        <v>0</v>
      </c>
      <c r="K181" s="17">
        <f t="shared" si="63"/>
        <v>0</v>
      </c>
      <c r="L181" s="18">
        <f t="shared" si="64"/>
        <v>12750</v>
      </c>
      <c r="M181" s="30" t="s">
        <v>111</v>
      </c>
    </row>
    <row r="182" spans="1:13">
      <c r="A182" s="126" t="s">
        <v>612</v>
      </c>
      <c r="B182" s="126" t="s">
        <v>613</v>
      </c>
      <c r="C182" s="126" t="s">
        <v>614</v>
      </c>
      <c r="D182" s="126" t="s">
        <v>615</v>
      </c>
      <c r="E182" s="21">
        <v>2706.75</v>
      </c>
      <c r="F182" s="6">
        <v>45</v>
      </c>
      <c r="G182" s="6">
        <v>45</v>
      </c>
      <c r="H182" s="17">
        <f t="shared" si="60"/>
        <v>0</v>
      </c>
      <c r="I182" s="17">
        <f t="shared" si="61"/>
        <v>0</v>
      </c>
      <c r="J182" s="17">
        <f t="shared" si="62"/>
        <v>0</v>
      </c>
      <c r="K182" s="17">
        <f t="shared" si="63"/>
        <v>0</v>
      </c>
      <c r="L182" s="18">
        <f t="shared" si="64"/>
        <v>121803.75</v>
      </c>
      <c r="M182" s="30" t="s">
        <v>130</v>
      </c>
    </row>
    <row r="183" spans="1:13" ht="31.5">
      <c r="A183" s="126" t="s">
        <v>616</v>
      </c>
      <c r="B183" s="129" t="s">
        <v>617</v>
      </c>
      <c r="C183" s="126" t="s">
        <v>618</v>
      </c>
      <c r="D183" s="126" t="s">
        <v>118</v>
      </c>
      <c r="E183" s="21">
        <v>14.66</v>
      </c>
      <c r="F183" s="6">
        <v>476</v>
      </c>
      <c r="G183" s="6">
        <v>476</v>
      </c>
      <c r="H183" s="17">
        <f t="shared" si="60"/>
        <v>0</v>
      </c>
      <c r="I183" s="17">
        <f t="shared" si="61"/>
        <v>0</v>
      </c>
      <c r="J183" s="17">
        <f t="shared" si="62"/>
        <v>0</v>
      </c>
      <c r="K183" s="17">
        <f t="shared" si="63"/>
        <v>0</v>
      </c>
      <c r="L183" s="18">
        <f t="shared" si="64"/>
        <v>6978.16</v>
      </c>
      <c r="M183" s="30" t="s">
        <v>312</v>
      </c>
    </row>
    <row r="184" spans="1:13">
      <c r="A184" s="126"/>
      <c r="B184" s="126" t="s">
        <v>619</v>
      </c>
      <c r="C184" s="126" t="s">
        <v>561</v>
      </c>
      <c r="D184" s="129" t="s">
        <v>620</v>
      </c>
      <c r="E184" s="21">
        <v>1885</v>
      </c>
      <c r="F184" s="6">
        <v>40</v>
      </c>
      <c r="G184" s="6">
        <v>40</v>
      </c>
      <c r="H184" s="17">
        <f t="shared" ref="H184:H197" si="65">F184-G184</f>
        <v>0</v>
      </c>
      <c r="I184" s="17">
        <f t="shared" ref="I184:I197" si="66">E184*H184</f>
        <v>0</v>
      </c>
      <c r="J184" s="17">
        <f t="shared" ref="J184:J197" si="67">G184-F184</f>
        <v>0</v>
      </c>
      <c r="K184" s="17">
        <f t="shared" ref="K184:K197" si="68">E184*J184</f>
        <v>0</v>
      </c>
      <c r="L184" s="18">
        <f t="shared" ref="L184:L197" si="69">E184*G184</f>
        <v>75400</v>
      </c>
      <c r="M184" s="30" t="s">
        <v>621</v>
      </c>
    </row>
    <row r="185" spans="1:13">
      <c r="A185" s="128" t="s">
        <v>622</v>
      </c>
      <c r="B185" s="128" t="s">
        <v>623</v>
      </c>
      <c r="C185" s="128" t="s">
        <v>624</v>
      </c>
      <c r="D185" s="130" t="s">
        <v>625</v>
      </c>
      <c r="E185" s="21">
        <v>801</v>
      </c>
      <c r="F185" s="6">
        <v>64</v>
      </c>
      <c r="G185" s="6">
        <v>64</v>
      </c>
      <c r="H185" s="17">
        <f t="shared" si="65"/>
        <v>0</v>
      </c>
      <c r="I185" s="17">
        <f t="shared" si="66"/>
        <v>0</v>
      </c>
      <c r="J185" s="17">
        <f t="shared" si="67"/>
        <v>0</v>
      </c>
      <c r="K185" s="17">
        <f t="shared" si="68"/>
        <v>0</v>
      </c>
      <c r="L185" s="18">
        <f t="shared" si="69"/>
        <v>51264</v>
      </c>
      <c r="M185" s="30" t="s">
        <v>626</v>
      </c>
    </row>
    <row r="186" spans="1:13">
      <c r="A186" s="128" t="s">
        <v>627</v>
      </c>
      <c r="B186" s="128" t="s">
        <v>628</v>
      </c>
      <c r="C186" s="128" t="s">
        <v>624</v>
      </c>
      <c r="D186" s="130" t="s">
        <v>625</v>
      </c>
      <c r="E186" s="21">
        <v>1972</v>
      </c>
      <c r="F186" s="6">
        <v>15</v>
      </c>
      <c r="G186" s="6">
        <v>15</v>
      </c>
      <c r="H186" s="17">
        <f t="shared" si="65"/>
        <v>0</v>
      </c>
      <c r="I186" s="17">
        <f t="shared" si="66"/>
        <v>0</v>
      </c>
      <c r="J186" s="17">
        <f t="shared" si="67"/>
        <v>0</v>
      </c>
      <c r="K186" s="17">
        <f t="shared" si="68"/>
        <v>0</v>
      </c>
      <c r="L186" s="18">
        <f t="shared" si="69"/>
        <v>29580</v>
      </c>
      <c r="M186" s="30" t="s">
        <v>234</v>
      </c>
    </row>
    <row r="187" spans="1:13">
      <c r="A187" s="128" t="s">
        <v>629</v>
      </c>
      <c r="B187" s="128" t="s">
        <v>630</v>
      </c>
      <c r="C187" s="128" t="s">
        <v>624</v>
      </c>
      <c r="D187" s="130" t="s">
        <v>625</v>
      </c>
      <c r="E187" s="21">
        <v>2200</v>
      </c>
      <c r="F187" s="6">
        <v>3</v>
      </c>
      <c r="G187" s="6">
        <v>3</v>
      </c>
      <c r="H187" s="17">
        <f t="shared" si="65"/>
        <v>0</v>
      </c>
      <c r="I187" s="17">
        <f t="shared" si="66"/>
        <v>0</v>
      </c>
      <c r="J187" s="17">
        <f t="shared" si="67"/>
        <v>0</v>
      </c>
      <c r="K187" s="17">
        <f t="shared" si="68"/>
        <v>0</v>
      </c>
      <c r="L187" s="18">
        <f t="shared" si="69"/>
        <v>6600</v>
      </c>
      <c r="M187" s="30" t="s">
        <v>631</v>
      </c>
    </row>
    <row r="188" spans="1:13" ht="31.5">
      <c r="A188" s="128"/>
      <c r="B188" s="128" t="s">
        <v>632</v>
      </c>
      <c r="C188" s="128" t="s">
        <v>633</v>
      </c>
      <c r="D188" s="130" t="s">
        <v>633</v>
      </c>
      <c r="E188" s="21">
        <v>1163.75</v>
      </c>
      <c r="F188" s="6">
        <v>76</v>
      </c>
      <c r="G188" s="6">
        <v>76</v>
      </c>
      <c r="H188" s="17">
        <f t="shared" si="65"/>
        <v>0</v>
      </c>
      <c r="I188" s="17">
        <f t="shared" si="66"/>
        <v>0</v>
      </c>
      <c r="J188" s="17">
        <f t="shared" si="67"/>
        <v>0</v>
      </c>
      <c r="K188" s="17">
        <f t="shared" si="68"/>
        <v>0</v>
      </c>
      <c r="L188" s="18">
        <f t="shared" si="69"/>
        <v>88445</v>
      </c>
      <c r="M188" s="30" t="s">
        <v>634</v>
      </c>
    </row>
    <row r="189" spans="1:13" s="120" customFormat="1">
      <c r="A189" s="128"/>
      <c r="B189" s="128" t="s">
        <v>635</v>
      </c>
      <c r="C189" s="128" t="s">
        <v>636</v>
      </c>
      <c r="D189" s="130" t="s">
        <v>636</v>
      </c>
      <c r="E189" s="21">
        <v>1530</v>
      </c>
      <c r="F189" s="6">
        <v>35</v>
      </c>
      <c r="G189" s="6">
        <v>35</v>
      </c>
      <c r="H189" s="5">
        <f t="shared" si="65"/>
        <v>0</v>
      </c>
      <c r="I189" s="5">
        <f t="shared" si="66"/>
        <v>0</v>
      </c>
      <c r="J189" s="5">
        <f t="shared" si="67"/>
        <v>0</v>
      </c>
      <c r="K189" s="5">
        <f t="shared" si="68"/>
        <v>0</v>
      </c>
      <c r="L189" s="11">
        <f t="shared" si="69"/>
        <v>53550</v>
      </c>
      <c r="M189" s="12" t="s">
        <v>135</v>
      </c>
    </row>
    <row r="190" spans="1:13" s="120" customFormat="1">
      <c r="A190" s="128"/>
      <c r="B190" s="128" t="s">
        <v>637</v>
      </c>
      <c r="C190" s="128" t="s">
        <v>636</v>
      </c>
      <c r="D190" s="130" t="s">
        <v>636</v>
      </c>
      <c r="E190" s="21">
        <v>920</v>
      </c>
      <c r="F190" s="6">
        <v>35</v>
      </c>
      <c r="G190" s="6">
        <v>35</v>
      </c>
      <c r="H190" s="5">
        <f t="shared" si="65"/>
        <v>0</v>
      </c>
      <c r="I190" s="5">
        <f t="shared" si="66"/>
        <v>0</v>
      </c>
      <c r="J190" s="5">
        <f t="shared" si="67"/>
        <v>0</v>
      </c>
      <c r="K190" s="5">
        <f t="shared" si="68"/>
        <v>0</v>
      </c>
      <c r="L190" s="11">
        <f t="shared" si="69"/>
        <v>32200</v>
      </c>
      <c r="M190" s="12" t="s">
        <v>596</v>
      </c>
    </row>
    <row r="191" spans="1:13">
      <c r="A191" s="128"/>
      <c r="B191" s="128" t="s">
        <v>638</v>
      </c>
      <c r="C191" s="128" t="s">
        <v>639</v>
      </c>
      <c r="D191" s="130" t="s">
        <v>633</v>
      </c>
      <c r="E191" s="21">
        <v>947.15</v>
      </c>
      <c r="F191" s="6">
        <v>145</v>
      </c>
      <c r="G191" s="6">
        <v>145</v>
      </c>
      <c r="H191" s="17">
        <f t="shared" si="65"/>
        <v>0</v>
      </c>
      <c r="I191" s="17">
        <f t="shared" si="66"/>
        <v>0</v>
      </c>
      <c r="J191" s="17">
        <f t="shared" si="67"/>
        <v>0</v>
      </c>
      <c r="K191" s="17">
        <f t="shared" si="68"/>
        <v>0</v>
      </c>
      <c r="L191" s="18">
        <f t="shared" si="69"/>
        <v>137336.75</v>
      </c>
      <c r="M191" s="30" t="s">
        <v>211</v>
      </c>
    </row>
    <row r="192" spans="1:13">
      <c r="A192" s="128"/>
      <c r="B192" s="128" t="s">
        <v>640</v>
      </c>
      <c r="C192" s="128"/>
      <c r="D192" s="130" t="s">
        <v>641</v>
      </c>
      <c r="E192" s="21"/>
      <c r="F192" s="6">
        <v>30</v>
      </c>
      <c r="G192" s="6">
        <v>30</v>
      </c>
      <c r="H192" s="17">
        <f t="shared" si="65"/>
        <v>0</v>
      </c>
      <c r="I192" s="17">
        <f t="shared" si="66"/>
        <v>0</v>
      </c>
      <c r="J192" s="17">
        <f t="shared" si="67"/>
        <v>0</v>
      </c>
      <c r="K192" s="17">
        <f t="shared" si="68"/>
        <v>0</v>
      </c>
      <c r="L192" s="18">
        <f t="shared" si="69"/>
        <v>0</v>
      </c>
      <c r="M192" s="30" t="s">
        <v>642</v>
      </c>
    </row>
    <row r="193" spans="1:14" s="120" customFormat="1">
      <c r="A193" s="128" t="s">
        <v>643</v>
      </c>
      <c r="B193" s="128" t="s">
        <v>644</v>
      </c>
      <c r="C193" s="128" t="s">
        <v>645</v>
      </c>
      <c r="D193" s="130" t="s">
        <v>645</v>
      </c>
      <c r="E193" s="21">
        <v>636.29999999999995</v>
      </c>
      <c r="F193" s="6">
        <v>70</v>
      </c>
      <c r="G193" s="6">
        <v>70</v>
      </c>
      <c r="H193" s="17">
        <f t="shared" si="65"/>
        <v>0</v>
      </c>
      <c r="I193" s="17">
        <f t="shared" si="66"/>
        <v>0</v>
      </c>
      <c r="J193" s="17">
        <f t="shared" si="67"/>
        <v>0</v>
      </c>
      <c r="K193" s="17">
        <f t="shared" si="68"/>
        <v>0</v>
      </c>
      <c r="L193" s="18">
        <f t="shared" si="69"/>
        <v>44541</v>
      </c>
      <c r="M193" s="30" t="s">
        <v>646</v>
      </c>
    </row>
    <row r="194" spans="1:14">
      <c r="A194" s="126"/>
      <c r="B194" s="115" t="s">
        <v>647</v>
      </c>
      <c r="C194" s="116" t="s">
        <v>645</v>
      </c>
      <c r="D194" s="115" t="s">
        <v>645</v>
      </c>
      <c r="E194" s="117">
        <v>3.5</v>
      </c>
      <c r="F194" s="6">
        <v>22000</v>
      </c>
      <c r="G194" s="6">
        <v>22000</v>
      </c>
      <c r="H194" s="17">
        <f t="shared" si="65"/>
        <v>0</v>
      </c>
      <c r="I194" s="17">
        <f t="shared" si="66"/>
        <v>0</v>
      </c>
      <c r="J194" s="17">
        <f t="shared" si="67"/>
        <v>0</v>
      </c>
      <c r="K194" s="17">
        <f t="shared" si="68"/>
        <v>0</v>
      </c>
      <c r="L194" s="18">
        <f t="shared" si="69"/>
        <v>77000</v>
      </c>
      <c r="M194" s="30" t="s">
        <v>648</v>
      </c>
    </row>
    <row r="195" spans="1:14" ht="31.5">
      <c r="A195" s="126"/>
      <c r="B195" s="141" t="s">
        <v>649</v>
      </c>
      <c r="C195" s="116" t="s">
        <v>645</v>
      </c>
      <c r="D195" s="115" t="s">
        <v>645</v>
      </c>
      <c r="E195" s="117">
        <v>5</v>
      </c>
      <c r="F195" s="6">
        <v>12000</v>
      </c>
      <c r="G195" s="6">
        <v>12000</v>
      </c>
      <c r="H195" s="17">
        <f t="shared" si="65"/>
        <v>0</v>
      </c>
      <c r="I195" s="17">
        <f t="shared" si="66"/>
        <v>0</v>
      </c>
      <c r="J195" s="17">
        <f t="shared" si="67"/>
        <v>0</v>
      </c>
      <c r="K195" s="17">
        <f t="shared" si="68"/>
        <v>0</v>
      </c>
      <c r="L195" s="18">
        <f t="shared" si="69"/>
        <v>60000</v>
      </c>
      <c r="M195" s="30" t="s">
        <v>648</v>
      </c>
    </row>
    <row r="196" spans="1:14" ht="31.5">
      <c r="A196" s="142"/>
      <c r="B196" s="143" t="s">
        <v>650</v>
      </c>
      <c r="C196" s="143" t="s">
        <v>645</v>
      </c>
      <c r="D196" s="143" t="s">
        <v>641</v>
      </c>
      <c r="E196" s="144">
        <v>450</v>
      </c>
      <c r="F196" s="145">
        <v>150</v>
      </c>
      <c r="G196" s="145">
        <v>150</v>
      </c>
      <c r="H196" s="17">
        <f t="shared" si="65"/>
        <v>0</v>
      </c>
      <c r="I196" s="17">
        <f t="shared" si="66"/>
        <v>0</v>
      </c>
      <c r="J196" s="17">
        <f t="shared" si="67"/>
        <v>0</v>
      </c>
      <c r="K196" s="17">
        <f t="shared" si="68"/>
        <v>0</v>
      </c>
      <c r="L196" s="18">
        <f t="shared" si="69"/>
        <v>67500</v>
      </c>
      <c r="M196" s="30" t="s">
        <v>85</v>
      </c>
    </row>
    <row r="197" spans="1:14" ht="31.5">
      <c r="A197" s="3"/>
      <c r="B197" s="4" t="s">
        <v>651</v>
      </c>
      <c r="C197" s="4" t="s">
        <v>645</v>
      </c>
      <c r="D197" s="4" t="s">
        <v>641</v>
      </c>
      <c r="E197" s="25">
        <v>230</v>
      </c>
      <c r="F197" s="6">
        <v>100</v>
      </c>
      <c r="G197" s="6">
        <v>100</v>
      </c>
      <c r="H197" s="17">
        <f t="shared" si="65"/>
        <v>0</v>
      </c>
      <c r="I197" s="17">
        <f t="shared" si="66"/>
        <v>0</v>
      </c>
      <c r="J197" s="17">
        <f t="shared" si="67"/>
        <v>0</v>
      </c>
      <c r="K197" s="17">
        <f t="shared" si="68"/>
        <v>0</v>
      </c>
      <c r="L197" s="18">
        <f t="shared" si="69"/>
        <v>23000</v>
      </c>
      <c r="M197" s="30" t="s">
        <v>159</v>
      </c>
      <c r="N197" s="3"/>
    </row>
    <row r="198" spans="1:14">
      <c r="A198" s="3"/>
      <c r="B198" s="3"/>
      <c r="C198" s="3"/>
      <c r="D198" s="4"/>
      <c r="E198" s="5"/>
      <c r="F198" s="6"/>
      <c r="G198" s="6"/>
      <c r="H198" s="17"/>
      <c r="I198" s="17"/>
      <c r="J198" s="17"/>
      <c r="K198" s="17"/>
      <c r="L198" s="118">
        <f>SUM(L6:L197)</f>
        <v>11304947.130000001</v>
      </c>
      <c r="M198" s="30"/>
      <c r="N198" s="3"/>
    </row>
    <row r="199" spans="1:14">
      <c r="A199" s="3"/>
      <c r="B199" s="3"/>
      <c r="C199" s="3"/>
      <c r="D199" s="4"/>
      <c r="E199" s="5"/>
      <c r="F199" s="6"/>
      <c r="G199" s="6"/>
      <c r="H199" s="5"/>
      <c r="I199" s="5"/>
      <c r="J199" s="5"/>
      <c r="K199" s="5"/>
      <c r="L199" s="11"/>
      <c r="M199" s="12"/>
      <c r="N199" s="3"/>
    </row>
    <row r="200" spans="1:14">
      <c r="A200" s="3"/>
      <c r="B200" s="3"/>
      <c r="C200" s="3"/>
      <c r="D200" s="4"/>
      <c r="E200" s="5"/>
      <c r="F200" s="6"/>
      <c r="G200" s="6"/>
      <c r="H200" s="5"/>
      <c r="I200" s="5"/>
      <c r="J200" s="5"/>
      <c r="K200" s="5"/>
      <c r="L200" s="11"/>
      <c r="M200" s="12"/>
      <c r="N200" s="3"/>
    </row>
    <row r="201" spans="1:14">
      <c r="A201" s="222"/>
      <c r="B201" s="222"/>
      <c r="C201" s="222"/>
      <c r="D201" s="222"/>
      <c r="E201" s="222"/>
      <c r="F201" s="222"/>
      <c r="G201" s="222"/>
      <c r="H201" s="222"/>
      <c r="I201" s="222"/>
      <c r="J201" s="222"/>
      <c r="K201" s="222"/>
      <c r="L201" s="222"/>
      <c r="M201" s="222"/>
      <c r="N201" s="222"/>
    </row>
    <row r="202" spans="1:14">
      <c r="A202" s="223" t="s">
        <v>652</v>
      </c>
      <c r="B202" s="224"/>
      <c r="C202" s="224"/>
      <c r="D202" s="224"/>
      <c r="E202" s="224"/>
      <c r="F202" s="224"/>
      <c r="G202" s="224"/>
      <c r="H202" s="224"/>
      <c r="I202" s="224"/>
      <c r="J202" s="224"/>
      <c r="K202" s="224"/>
      <c r="L202" s="224"/>
      <c r="M202" s="225"/>
      <c r="N202" s="31"/>
    </row>
    <row r="203" spans="1:14">
      <c r="A203" s="146"/>
      <c r="B203" s="146"/>
      <c r="C203" s="146"/>
      <c r="D203" s="146"/>
      <c r="E203" s="147"/>
      <c r="F203" s="148"/>
      <c r="G203" s="148"/>
      <c r="H203" s="146"/>
      <c r="I203" s="160"/>
      <c r="J203" s="146"/>
      <c r="K203" s="146"/>
      <c r="L203" s="146"/>
      <c r="M203" s="161"/>
      <c r="N203" s="162"/>
    </row>
    <row r="204" spans="1:14" ht="47.25">
      <c r="A204" s="226"/>
      <c r="B204" s="227"/>
      <c r="C204" s="149" t="s">
        <v>653</v>
      </c>
      <c r="D204" s="228" t="s">
        <v>654</v>
      </c>
      <c r="E204" s="229"/>
      <c r="F204" s="150" t="s">
        <v>655</v>
      </c>
      <c r="G204" s="150" t="s">
        <v>656</v>
      </c>
      <c r="H204" s="149" t="s">
        <v>657</v>
      </c>
      <c r="I204" s="228" t="s">
        <v>658</v>
      </c>
      <c r="J204" s="229"/>
      <c r="K204" s="228" t="s">
        <v>659</v>
      </c>
      <c r="L204" s="229"/>
      <c r="M204" s="163" t="s">
        <v>660</v>
      </c>
      <c r="N204" s="36"/>
    </row>
    <row r="205" spans="1:14">
      <c r="A205" s="230" t="s">
        <v>661</v>
      </c>
      <c r="B205" s="231"/>
      <c r="C205" s="141"/>
      <c r="D205" s="232"/>
      <c r="E205" s="233"/>
      <c r="F205" s="151"/>
      <c r="G205" s="151"/>
      <c r="H205" s="141"/>
      <c r="I205" s="232"/>
      <c r="J205" s="233"/>
      <c r="K205" s="232"/>
      <c r="L205" s="233"/>
      <c r="M205" s="164"/>
      <c r="N205" s="37"/>
    </row>
    <row r="206" spans="1:14">
      <c r="A206" s="230" t="s">
        <v>662</v>
      </c>
      <c r="B206" s="231"/>
      <c r="C206" s="141"/>
      <c r="D206" s="232"/>
      <c r="E206" s="233"/>
      <c r="F206" s="151"/>
      <c r="G206" s="151"/>
      <c r="H206" s="141"/>
      <c r="I206" s="232"/>
      <c r="J206" s="233"/>
      <c r="K206" s="232"/>
      <c r="L206" s="233"/>
      <c r="M206" s="164"/>
      <c r="N206" s="31"/>
    </row>
    <row r="207" spans="1:14">
      <c r="A207" s="152"/>
      <c r="B207" s="141"/>
      <c r="C207" s="141"/>
      <c r="D207" s="141"/>
      <c r="E207" s="153"/>
      <c r="F207" s="151"/>
      <c r="G207" s="151"/>
      <c r="H207" s="141"/>
      <c r="I207" s="165"/>
      <c r="J207" s="141"/>
      <c r="K207" s="141"/>
      <c r="L207" s="141"/>
      <c r="M207" s="164"/>
      <c r="N207" s="31"/>
    </row>
    <row r="208" spans="1:14">
      <c r="A208" s="152"/>
      <c r="B208" s="141"/>
      <c r="C208" s="141"/>
      <c r="D208" s="141"/>
      <c r="E208" s="153"/>
      <c r="F208" s="151"/>
      <c r="G208" s="151"/>
      <c r="H208" s="141"/>
      <c r="I208" s="165"/>
      <c r="J208" s="141"/>
      <c r="K208" s="141"/>
      <c r="L208" s="141"/>
      <c r="M208" s="164"/>
      <c r="N208" s="38"/>
    </row>
    <row r="209" spans="1:14" ht="30.75" customHeight="1">
      <c r="A209" s="152"/>
      <c r="B209" s="154" t="s">
        <v>663</v>
      </c>
      <c r="C209" s="155" t="s">
        <v>664</v>
      </c>
      <c r="D209" s="154" t="s">
        <v>664</v>
      </c>
      <c r="E209" s="236" t="s">
        <v>665</v>
      </c>
      <c r="F209" s="237"/>
      <c r="G209" s="156" t="s">
        <v>666</v>
      </c>
      <c r="H209" s="154" t="s">
        <v>667</v>
      </c>
      <c r="I209" s="166" t="s">
        <v>662</v>
      </c>
      <c r="J209" s="141"/>
      <c r="K209" s="141"/>
      <c r="L209" s="141"/>
      <c r="M209" s="164"/>
      <c r="N209" s="38"/>
    </row>
    <row r="210" spans="1:14" ht="42.75" customHeight="1">
      <c r="A210" s="152"/>
      <c r="B210" s="141">
        <v>1</v>
      </c>
      <c r="C210" s="141" t="s">
        <v>668</v>
      </c>
      <c r="D210" s="141" t="s">
        <v>669</v>
      </c>
      <c r="E210" s="234" t="s">
        <v>670</v>
      </c>
      <c r="F210" s="235"/>
      <c r="G210" s="156">
        <v>536473</v>
      </c>
      <c r="H210" s="158" t="s">
        <v>671</v>
      </c>
      <c r="I210" s="165"/>
      <c r="J210" s="141"/>
      <c r="K210" s="141"/>
      <c r="L210" s="141"/>
      <c r="M210" s="164"/>
      <c r="N210" s="38"/>
    </row>
    <row r="211" spans="1:14" ht="42.75" customHeight="1">
      <c r="A211" s="152"/>
      <c r="B211" s="141">
        <v>2</v>
      </c>
      <c r="C211" s="141" t="s">
        <v>672</v>
      </c>
      <c r="D211" s="141" t="s">
        <v>669</v>
      </c>
      <c r="E211" s="157"/>
      <c r="F211" s="159" t="s">
        <v>673</v>
      </c>
      <c r="G211" s="156">
        <v>536470</v>
      </c>
      <c r="H211" s="158" t="s">
        <v>674</v>
      </c>
      <c r="I211" s="165"/>
      <c r="J211" s="141"/>
      <c r="K211" s="141"/>
      <c r="L211" s="141"/>
      <c r="M211" s="164"/>
      <c r="N211" s="38"/>
    </row>
    <row r="212" spans="1:14" ht="37.5" customHeight="1">
      <c r="A212" s="152"/>
      <c r="B212" s="141">
        <v>3</v>
      </c>
      <c r="C212" s="141" t="s">
        <v>675</v>
      </c>
      <c r="D212" s="141" t="s">
        <v>676</v>
      </c>
      <c r="E212" s="234" t="s">
        <v>677</v>
      </c>
      <c r="F212" s="235"/>
      <c r="G212" s="156">
        <v>537265</v>
      </c>
      <c r="H212" s="158" t="s">
        <v>678</v>
      </c>
      <c r="I212" s="165"/>
      <c r="J212" s="141"/>
      <c r="K212" s="141"/>
      <c r="L212" s="141"/>
      <c r="M212" s="164"/>
      <c r="N212" s="38"/>
    </row>
    <row r="213" spans="1:14" ht="27" customHeight="1">
      <c r="B213" s="141">
        <v>4</v>
      </c>
      <c r="C213" s="141" t="s">
        <v>679</v>
      </c>
      <c r="D213" s="141" t="s">
        <v>676</v>
      </c>
      <c r="E213" s="234" t="s">
        <v>680</v>
      </c>
      <c r="F213" s="235"/>
      <c r="G213" s="156">
        <v>220199</v>
      </c>
      <c r="H213" s="158" t="s">
        <v>681</v>
      </c>
      <c r="I213" s="165"/>
      <c r="J213" s="141"/>
      <c r="K213" s="141"/>
      <c r="L213" s="141"/>
      <c r="M213" s="164"/>
      <c r="N213" s="38"/>
    </row>
    <row r="214" spans="1:14" ht="32.25" customHeight="1">
      <c r="A214" s="152"/>
      <c r="B214" s="141">
        <v>5</v>
      </c>
      <c r="C214" s="141" t="s">
        <v>682</v>
      </c>
      <c r="D214" s="141" t="s">
        <v>683</v>
      </c>
      <c r="E214" s="234" t="s">
        <v>684</v>
      </c>
      <c r="F214" s="235"/>
      <c r="G214" s="156">
        <v>536380</v>
      </c>
      <c r="H214" s="158" t="s">
        <v>685</v>
      </c>
      <c r="I214" s="165"/>
      <c r="J214" s="141"/>
      <c r="K214" s="141"/>
      <c r="L214" s="141"/>
      <c r="M214" s="164"/>
      <c r="N214" s="38"/>
    </row>
    <row r="215" spans="1:14" ht="31.5">
      <c r="A215" s="152"/>
      <c r="B215" s="141">
        <v>6</v>
      </c>
      <c r="C215" s="141" t="s">
        <v>686</v>
      </c>
      <c r="D215" s="141" t="s">
        <v>687</v>
      </c>
      <c r="E215" s="234" t="s">
        <v>688</v>
      </c>
      <c r="F215" s="235"/>
      <c r="G215" s="156">
        <v>220332</v>
      </c>
      <c r="H215" s="158" t="s">
        <v>689</v>
      </c>
      <c r="I215" s="165"/>
      <c r="J215" s="141"/>
      <c r="K215" s="141"/>
      <c r="L215" s="141"/>
      <c r="M215" s="164"/>
      <c r="N215" s="31"/>
    </row>
  </sheetData>
  <mergeCells count="22">
    <mergeCell ref="E215:F215"/>
    <mergeCell ref="E209:F209"/>
    <mergeCell ref="E210:F210"/>
    <mergeCell ref="E212:F212"/>
    <mergeCell ref="E213:F213"/>
    <mergeCell ref="E214:F214"/>
    <mergeCell ref="A205:B205"/>
    <mergeCell ref="D205:E205"/>
    <mergeCell ref="I205:J205"/>
    <mergeCell ref="K205:L205"/>
    <mergeCell ref="A206:B206"/>
    <mergeCell ref="D206:E206"/>
    <mergeCell ref="I206:J206"/>
    <mergeCell ref="K206:L206"/>
    <mergeCell ref="A1:P1"/>
    <mergeCell ref="A3:P3"/>
    <mergeCell ref="A201:N201"/>
    <mergeCell ref="A202:M202"/>
    <mergeCell ref="A204:B204"/>
    <mergeCell ref="D204:E204"/>
    <mergeCell ref="I204:J204"/>
    <mergeCell ref="K204:L204"/>
  </mergeCells>
  <hyperlinks>
    <hyperlink ref="E212" r:id="rId1" xr:uid="{00000000-0004-0000-0000-000000000000}"/>
    <hyperlink ref="E215" r:id="rId2" xr:uid="{00000000-0004-0000-0000-000001000000}"/>
    <hyperlink ref="E213" r:id="rId3" xr:uid="{00000000-0004-0000-0000-000002000000}"/>
    <hyperlink ref="E210" r:id="rId4" xr:uid="{00000000-0004-0000-0000-000003000000}"/>
    <hyperlink ref="E214" r:id="rId5" xr:uid="{00000000-0004-0000-0000-000004000000}"/>
    <hyperlink ref="F211" r:id="rId6" xr:uid="{00000000-0004-0000-0000-000005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205"/>
  <sheetViews>
    <sheetView topLeftCell="A160" workbookViewId="0">
      <selection activeCell="Q190" sqref="Q190"/>
    </sheetView>
  </sheetViews>
  <sheetFormatPr defaultColWidth="9.140625" defaultRowHeight="15.75"/>
  <cols>
    <col min="1" max="1" width="9" style="3" customWidth="1"/>
    <col min="2" max="2" width="18.5703125" style="4" customWidth="1"/>
    <col min="3" max="3" width="38.5703125" style="3" customWidth="1"/>
    <col min="4" max="4" width="15" style="4" customWidth="1"/>
    <col min="5" max="5" width="11.42578125" style="5" customWidth="1"/>
    <col min="6" max="6" width="10.140625" style="6" customWidth="1"/>
    <col min="7" max="7" width="14.140625" style="6" customWidth="1"/>
    <col min="8" max="8" width="7.7109375" style="5" customWidth="1"/>
    <col min="9" max="9" width="11" style="5" customWidth="1"/>
    <col min="10" max="10" width="8.7109375" style="5" customWidth="1"/>
    <col min="11" max="11" width="12.140625" style="5" customWidth="1"/>
    <col min="12" max="12" width="16.28515625" style="11" customWidth="1"/>
    <col min="13" max="13" width="14.85546875" style="12" customWidth="1"/>
    <col min="14" max="14" width="4.7109375" style="3" customWidth="1"/>
    <col min="15" max="15" width="5" style="3" customWidth="1"/>
    <col min="16" max="16" width="7.85546875" style="3" customWidth="1"/>
    <col min="17" max="16384" width="9.140625" style="3"/>
  </cols>
  <sheetData>
    <row r="1" spans="1:16">
      <c r="A1" s="238" t="s">
        <v>0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</row>
    <row r="3" spans="1:16">
      <c r="A3" s="238" t="s">
        <v>1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</row>
    <row r="5" spans="1:16" s="4" customFormat="1" ht="47.25">
      <c r="A5" s="47" t="s">
        <v>2</v>
      </c>
      <c r="B5" s="47" t="s">
        <v>3</v>
      </c>
      <c r="C5" s="47" t="s">
        <v>4</v>
      </c>
      <c r="D5" s="47" t="s">
        <v>5</v>
      </c>
      <c r="E5" s="48" t="s">
        <v>6</v>
      </c>
      <c r="F5" s="49" t="s">
        <v>7</v>
      </c>
      <c r="G5" s="50" t="s">
        <v>8</v>
      </c>
      <c r="H5" s="98" t="s">
        <v>9</v>
      </c>
      <c r="I5" s="107" t="s">
        <v>10</v>
      </c>
      <c r="J5" s="98" t="s">
        <v>11</v>
      </c>
      <c r="K5" s="107" t="s">
        <v>12</v>
      </c>
      <c r="L5" s="108" t="s">
        <v>13</v>
      </c>
      <c r="M5" s="109" t="s">
        <v>14</v>
      </c>
    </row>
    <row r="6" spans="1:16" s="8" customFormat="1" ht="63">
      <c r="A6" s="20" t="s">
        <v>15</v>
      </c>
      <c r="B6" s="20" t="s">
        <v>16</v>
      </c>
      <c r="C6" s="20" t="s">
        <v>17</v>
      </c>
      <c r="D6" s="20" t="s">
        <v>18</v>
      </c>
      <c r="E6" s="10">
        <v>39</v>
      </c>
      <c r="F6" s="7">
        <v>325</v>
      </c>
      <c r="G6" s="7">
        <v>325</v>
      </c>
      <c r="H6" s="13">
        <f t="shared" ref="H6:H70" si="0">F6-G6</f>
        <v>0</v>
      </c>
      <c r="I6" s="13">
        <f t="shared" ref="I6:I70" si="1">E6*H6</f>
        <v>0</v>
      </c>
      <c r="J6" s="13">
        <f t="shared" ref="J6:J70" si="2">G6-F6</f>
        <v>0</v>
      </c>
      <c r="K6" s="13">
        <f t="shared" ref="K6:K70" si="3">E6*J6</f>
        <v>0</v>
      </c>
      <c r="L6" s="14">
        <f t="shared" ref="L6:L70" si="4">E6*G6</f>
        <v>12675</v>
      </c>
      <c r="M6" s="16" t="s">
        <v>19</v>
      </c>
    </row>
    <row r="7" spans="1:16" s="8" customFormat="1" ht="47.25">
      <c r="A7" s="67" t="s">
        <v>20</v>
      </c>
      <c r="B7" s="67" t="s">
        <v>21</v>
      </c>
      <c r="C7" s="67" t="s">
        <v>22</v>
      </c>
      <c r="D7" s="67" t="s">
        <v>23</v>
      </c>
      <c r="E7" s="10">
        <v>120</v>
      </c>
      <c r="F7" s="7">
        <v>50</v>
      </c>
      <c r="G7" s="7">
        <v>50</v>
      </c>
      <c r="H7" s="13">
        <f t="shared" si="0"/>
        <v>0</v>
      </c>
      <c r="I7" s="13">
        <f t="shared" si="1"/>
        <v>0</v>
      </c>
      <c r="J7" s="13">
        <f t="shared" si="2"/>
        <v>0</v>
      </c>
      <c r="K7" s="13">
        <f t="shared" si="3"/>
        <v>0</v>
      </c>
      <c r="L7" s="14">
        <f t="shared" si="4"/>
        <v>6000</v>
      </c>
      <c r="M7" s="16" t="s">
        <v>24</v>
      </c>
    </row>
    <row r="8" spans="1:16" s="8" customFormat="1">
      <c r="A8" s="20" t="s">
        <v>25</v>
      </c>
      <c r="B8" s="20" t="s">
        <v>26</v>
      </c>
      <c r="C8" s="20" t="s">
        <v>27</v>
      </c>
      <c r="D8" s="71" t="s">
        <v>28</v>
      </c>
      <c r="E8" s="10">
        <v>48</v>
      </c>
      <c r="F8" s="7">
        <v>290</v>
      </c>
      <c r="G8" s="7">
        <v>290</v>
      </c>
      <c r="H8" s="13">
        <f t="shared" si="0"/>
        <v>0</v>
      </c>
      <c r="I8" s="13">
        <f t="shared" si="1"/>
        <v>0</v>
      </c>
      <c r="J8" s="13">
        <f t="shared" si="2"/>
        <v>0</v>
      </c>
      <c r="K8" s="13">
        <f t="shared" si="3"/>
        <v>0</v>
      </c>
      <c r="L8" s="14">
        <f t="shared" si="4"/>
        <v>13920</v>
      </c>
      <c r="M8" s="16" t="s">
        <v>29</v>
      </c>
    </row>
    <row r="9" spans="1:16" s="8" customFormat="1" ht="31.5">
      <c r="A9" s="20" t="s">
        <v>30</v>
      </c>
      <c r="B9" s="71" t="s">
        <v>31</v>
      </c>
      <c r="C9" s="20" t="s">
        <v>32</v>
      </c>
      <c r="D9" s="20" t="s">
        <v>33</v>
      </c>
      <c r="E9" s="10">
        <v>6000</v>
      </c>
      <c r="F9" s="7">
        <v>15</v>
      </c>
      <c r="G9" s="7">
        <v>15</v>
      </c>
      <c r="H9" s="13">
        <f t="shared" si="0"/>
        <v>0</v>
      </c>
      <c r="I9" s="13">
        <f t="shared" si="1"/>
        <v>0</v>
      </c>
      <c r="J9" s="13">
        <f t="shared" si="2"/>
        <v>0</v>
      </c>
      <c r="K9" s="13">
        <f t="shared" si="3"/>
        <v>0</v>
      </c>
      <c r="L9" s="14">
        <f t="shared" si="4"/>
        <v>90000</v>
      </c>
      <c r="M9" s="16" t="s">
        <v>34</v>
      </c>
    </row>
    <row r="10" spans="1:16">
      <c r="A10" s="99" t="s">
        <v>35</v>
      </c>
      <c r="B10" s="100" t="s">
        <v>36</v>
      </c>
      <c r="C10" s="99" t="s">
        <v>37</v>
      </c>
      <c r="D10" s="100" t="s">
        <v>38</v>
      </c>
      <c r="E10" s="101">
        <v>112</v>
      </c>
      <c r="H10" s="17">
        <f t="shared" si="0"/>
        <v>0</v>
      </c>
      <c r="I10" s="17">
        <f t="shared" si="1"/>
        <v>0</v>
      </c>
      <c r="J10" s="17">
        <f t="shared" si="2"/>
        <v>0</v>
      </c>
      <c r="K10" s="17">
        <f t="shared" si="3"/>
        <v>0</v>
      </c>
      <c r="L10" s="18">
        <f t="shared" si="4"/>
        <v>0</v>
      </c>
      <c r="M10" s="30" t="s">
        <v>39</v>
      </c>
    </row>
    <row r="11" spans="1:16">
      <c r="A11" s="99" t="s">
        <v>40</v>
      </c>
      <c r="B11" s="99" t="s">
        <v>41</v>
      </c>
      <c r="C11" s="99" t="s">
        <v>42</v>
      </c>
      <c r="D11" s="99" t="s">
        <v>28</v>
      </c>
      <c r="E11" s="101">
        <v>385</v>
      </c>
      <c r="F11" s="6">
        <v>375</v>
      </c>
      <c r="G11" s="6">
        <v>375</v>
      </c>
      <c r="H11" s="17">
        <f t="shared" si="0"/>
        <v>0</v>
      </c>
      <c r="I11" s="17">
        <f t="shared" si="1"/>
        <v>0</v>
      </c>
      <c r="J11" s="17">
        <f t="shared" si="2"/>
        <v>0</v>
      </c>
      <c r="K11" s="17">
        <f t="shared" si="3"/>
        <v>0</v>
      </c>
      <c r="L11" s="18">
        <f t="shared" si="4"/>
        <v>144375</v>
      </c>
      <c r="M11" s="30" t="s">
        <v>43</v>
      </c>
    </row>
    <row r="12" spans="1:16" ht="47.25">
      <c r="A12" s="102" t="s">
        <v>44</v>
      </c>
      <c r="B12" s="102" t="s">
        <v>45</v>
      </c>
      <c r="C12" s="102" t="s">
        <v>46</v>
      </c>
      <c r="D12" s="102" t="s">
        <v>47</v>
      </c>
      <c r="E12" s="101">
        <v>54</v>
      </c>
      <c r="F12" s="6">
        <v>600</v>
      </c>
      <c r="G12" s="6">
        <v>600</v>
      </c>
      <c r="H12" s="17">
        <f t="shared" si="0"/>
        <v>0</v>
      </c>
      <c r="I12" s="17">
        <f t="shared" si="1"/>
        <v>0</v>
      </c>
      <c r="J12" s="17">
        <f t="shared" si="2"/>
        <v>0</v>
      </c>
      <c r="K12" s="17">
        <f t="shared" si="3"/>
        <v>0</v>
      </c>
      <c r="L12" s="18">
        <f t="shared" si="4"/>
        <v>32400</v>
      </c>
      <c r="M12" s="30" t="s">
        <v>48</v>
      </c>
    </row>
    <row r="13" spans="1:16" s="8" customFormat="1">
      <c r="A13" s="67" t="s">
        <v>49</v>
      </c>
      <c r="B13" s="68" t="s">
        <v>50</v>
      </c>
      <c r="C13" s="67" t="s">
        <v>27</v>
      </c>
      <c r="D13" s="68" t="s">
        <v>51</v>
      </c>
      <c r="E13" s="10">
        <v>85</v>
      </c>
      <c r="F13" s="7">
        <v>90</v>
      </c>
      <c r="G13" s="7">
        <v>90</v>
      </c>
      <c r="H13" s="13">
        <f t="shared" si="0"/>
        <v>0</v>
      </c>
      <c r="I13" s="13">
        <f t="shared" si="1"/>
        <v>0</v>
      </c>
      <c r="J13" s="13">
        <f t="shared" si="2"/>
        <v>0</v>
      </c>
      <c r="K13" s="13">
        <f t="shared" si="3"/>
        <v>0</v>
      </c>
      <c r="L13" s="14">
        <f t="shared" si="4"/>
        <v>7650</v>
      </c>
      <c r="M13" s="16" t="s">
        <v>52</v>
      </c>
    </row>
    <row r="14" spans="1:16" s="8" customFormat="1">
      <c r="A14" s="67" t="s">
        <v>53</v>
      </c>
      <c r="B14" s="68" t="s">
        <v>54</v>
      </c>
      <c r="C14" s="67" t="s">
        <v>55</v>
      </c>
      <c r="D14" s="68" t="s">
        <v>56</v>
      </c>
      <c r="E14" s="10">
        <v>66</v>
      </c>
      <c r="F14" s="7">
        <v>450</v>
      </c>
      <c r="G14" s="7">
        <v>450</v>
      </c>
      <c r="H14" s="13">
        <f t="shared" si="0"/>
        <v>0</v>
      </c>
      <c r="I14" s="13">
        <f t="shared" si="1"/>
        <v>0</v>
      </c>
      <c r="J14" s="13">
        <f t="shared" si="2"/>
        <v>0</v>
      </c>
      <c r="K14" s="13">
        <f t="shared" si="3"/>
        <v>0</v>
      </c>
      <c r="L14" s="14">
        <f t="shared" si="4"/>
        <v>29700</v>
      </c>
      <c r="M14" s="16" t="s">
        <v>387</v>
      </c>
    </row>
    <row r="15" spans="1:16" s="8" customFormat="1" ht="31.5">
      <c r="A15" s="20" t="s">
        <v>58</v>
      </c>
      <c r="B15" s="71" t="s">
        <v>59</v>
      </c>
      <c r="C15" s="20" t="s">
        <v>60</v>
      </c>
      <c r="D15" s="20" t="s">
        <v>61</v>
      </c>
      <c r="E15" s="10">
        <v>143</v>
      </c>
      <c r="F15" s="7">
        <v>60</v>
      </c>
      <c r="G15" s="7">
        <v>60</v>
      </c>
      <c r="H15" s="13">
        <f t="shared" si="0"/>
        <v>0</v>
      </c>
      <c r="I15" s="13">
        <f t="shared" si="1"/>
        <v>0</v>
      </c>
      <c r="J15" s="13">
        <f t="shared" si="2"/>
        <v>0</v>
      </c>
      <c r="K15" s="13">
        <f t="shared" si="3"/>
        <v>0</v>
      </c>
      <c r="L15" s="14">
        <f t="shared" si="4"/>
        <v>8580</v>
      </c>
      <c r="M15" s="16" t="s">
        <v>24</v>
      </c>
    </row>
    <row r="16" spans="1:16">
      <c r="A16" s="99" t="s">
        <v>62</v>
      </c>
      <c r="B16" s="99" t="s">
        <v>63</v>
      </c>
      <c r="C16" s="99" t="s">
        <v>64</v>
      </c>
      <c r="D16" s="99" t="s">
        <v>28</v>
      </c>
      <c r="E16" s="101">
        <v>60</v>
      </c>
      <c r="F16" s="6">
        <v>220</v>
      </c>
      <c r="G16" s="6">
        <v>220</v>
      </c>
      <c r="H16" s="17">
        <f t="shared" si="0"/>
        <v>0</v>
      </c>
      <c r="I16" s="17">
        <f t="shared" si="1"/>
        <v>0</v>
      </c>
      <c r="J16" s="17">
        <f t="shared" si="2"/>
        <v>0</v>
      </c>
      <c r="K16" s="17">
        <f t="shared" si="3"/>
        <v>0</v>
      </c>
      <c r="L16" s="18">
        <f t="shared" si="4"/>
        <v>13200</v>
      </c>
      <c r="M16" s="30" t="s">
        <v>65</v>
      </c>
    </row>
    <row r="17" spans="1:13" s="8" customFormat="1">
      <c r="A17" s="20" t="s">
        <v>66</v>
      </c>
      <c r="B17" s="71" t="s">
        <v>67</v>
      </c>
      <c r="C17" s="20" t="s">
        <v>68</v>
      </c>
      <c r="D17" s="71" t="s">
        <v>56</v>
      </c>
      <c r="E17" s="10">
        <v>90</v>
      </c>
      <c r="F17" s="7">
        <v>110</v>
      </c>
      <c r="G17" s="7">
        <v>110</v>
      </c>
      <c r="H17" s="13">
        <f t="shared" si="0"/>
        <v>0</v>
      </c>
      <c r="I17" s="13">
        <f t="shared" si="1"/>
        <v>0</v>
      </c>
      <c r="J17" s="13">
        <f t="shared" si="2"/>
        <v>0</v>
      </c>
      <c r="K17" s="13">
        <f t="shared" si="3"/>
        <v>0</v>
      </c>
      <c r="L17" s="14">
        <f t="shared" si="4"/>
        <v>9900</v>
      </c>
      <c r="M17" s="16" t="s">
        <v>69</v>
      </c>
    </row>
    <row r="18" spans="1:13" s="8" customFormat="1">
      <c r="A18" s="20" t="s">
        <v>70</v>
      </c>
      <c r="B18" s="20" t="s">
        <v>71</v>
      </c>
      <c r="C18" s="20" t="s">
        <v>72</v>
      </c>
      <c r="D18" s="20" t="s">
        <v>73</v>
      </c>
      <c r="E18" s="10">
        <v>13000</v>
      </c>
      <c r="F18" s="7">
        <v>20</v>
      </c>
      <c r="G18" s="7">
        <v>20</v>
      </c>
      <c r="H18" s="13">
        <f t="shared" si="0"/>
        <v>0</v>
      </c>
      <c r="I18" s="13">
        <f t="shared" si="1"/>
        <v>0</v>
      </c>
      <c r="J18" s="13">
        <f t="shared" si="2"/>
        <v>0</v>
      </c>
      <c r="K18" s="13">
        <f t="shared" si="3"/>
        <v>0</v>
      </c>
      <c r="L18" s="14">
        <f t="shared" si="4"/>
        <v>260000</v>
      </c>
      <c r="M18" s="16" t="s">
        <v>39</v>
      </c>
    </row>
    <row r="19" spans="1:13">
      <c r="A19" s="99" t="s">
        <v>74</v>
      </c>
      <c r="B19" s="100" t="s">
        <v>75</v>
      </c>
      <c r="C19" s="99" t="s">
        <v>76</v>
      </c>
      <c r="D19" s="99" t="s">
        <v>77</v>
      </c>
      <c r="E19" s="101">
        <v>3.35</v>
      </c>
      <c r="F19" s="6">
        <v>2010</v>
      </c>
      <c r="G19" s="6">
        <v>2010</v>
      </c>
      <c r="H19" s="17">
        <f t="shared" si="0"/>
        <v>0</v>
      </c>
      <c r="I19" s="17">
        <f t="shared" si="1"/>
        <v>0</v>
      </c>
      <c r="J19" s="17">
        <f t="shared" si="2"/>
        <v>0</v>
      </c>
      <c r="K19" s="17">
        <f t="shared" si="3"/>
        <v>0</v>
      </c>
      <c r="L19" s="18">
        <f t="shared" si="4"/>
        <v>6733.5</v>
      </c>
      <c r="M19" s="30" t="s">
        <v>78</v>
      </c>
    </row>
    <row r="20" spans="1:13" s="8" customFormat="1">
      <c r="A20" s="20" t="s">
        <v>79</v>
      </c>
      <c r="B20" s="71" t="s">
        <v>80</v>
      </c>
      <c r="C20" s="20" t="s">
        <v>81</v>
      </c>
      <c r="D20" s="20" t="s">
        <v>77</v>
      </c>
      <c r="E20" s="9">
        <v>0.85</v>
      </c>
      <c r="F20" s="7">
        <v>0</v>
      </c>
      <c r="G20" s="7">
        <v>0</v>
      </c>
      <c r="H20" s="13">
        <f t="shared" si="0"/>
        <v>0</v>
      </c>
      <c r="I20" s="13">
        <f t="shared" si="1"/>
        <v>0</v>
      </c>
      <c r="J20" s="13">
        <f t="shared" si="2"/>
        <v>0</v>
      </c>
      <c r="K20" s="13">
        <f t="shared" si="3"/>
        <v>0</v>
      </c>
      <c r="L20" s="14">
        <f t="shared" si="4"/>
        <v>0</v>
      </c>
      <c r="M20" s="16" t="s">
        <v>34</v>
      </c>
    </row>
    <row r="21" spans="1:13">
      <c r="A21" s="102" t="s">
        <v>82</v>
      </c>
      <c r="B21" s="103" t="s">
        <v>80</v>
      </c>
      <c r="C21" s="102" t="s">
        <v>83</v>
      </c>
      <c r="D21" s="102" t="s">
        <v>84</v>
      </c>
      <c r="E21" s="21">
        <v>42</v>
      </c>
      <c r="F21" s="6">
        <v>325</v>
      </c>
      <c r="G21" s="6">
        <v>325</v>
      </c>
      <c r="H21" s="17">
        <f t="shared" si="0"/>
        <v>0</v>
      </c>
      <c r="I21" s="17">
        <f t="shared" si="1"/>
        <v>0</v>
      </c>
      <c r="J21" s="17">
        <f t="shared" si="2"/>
        <v>0</v>
      </c>
      <c r="K21" s="17">
        <f t="shared" si="3"/>
        <v>0</v>
      </c>
      <c r="L21" s="18">
        <f t="shared" si="4"/>
        <v>13650</v>
      </c>
      <c r="M21" s="30" t="s">
        <v>85</v>
      </c>
    </row>
    <row r="22" spans="1:13" s="8" customFormat="1" ht="31.5">
      <c r="A22" s="67" t="s">
        <v>86</v>
      </c>
      <c r="B22" s="68" t="s">
        <v>87</v>
      </c>
      <c r="C22" s="67" t="s">
        <v>88</v>
      </c>
      <c r="D22" s="68" t="s">
        <v>89</v>
      </c>
      <c r="E22" s="10">
        <v>1.88</v>
      </c>
      <c r="F22" s="7">
        <v>28000</v>
      </c>
      <c r="G22" s="7">
        <v>28000</v>
      </c>
      <c r="H22" s="13">
        <f t="shared" si="0"/>
        <v>0</v>
      </c>
      <c r="I22" s="13">
        <f t="shared" si="1"/>
        <v>0</v>
      </c>
      <c r="J22" s="13">
        <f t="shared" si="2"/>
        <v>0</v>
      </c>
      <c r="K22" s="13">
        <f t="shared" si="3"/>
        <v>0</v>
      </c>
      <c r="L22" s="14">
        <f t="shared" si="4"/>
        <v>52640</v>
      </c>
      <c r="M22" s="16" t="s">
        <v>34</v>
      </c>
    </row>
    <row r="23" spans="1:13">
      <c r="A23" s="99" t="s">
        <v>90</v>
      </c>
      <c r="B23" s="100" t="s">
        <v>87</v>
      </c>
      <c r="C23" s="99" t="s">
        <v>91</v>
      </c>
      <c r="D23" s="99" t="s">
        <v>84</v>
      </c>
      <c r="E23" s="101">
        <v>39</v>
      </c>
      <c r="F23" s="6">
        <v>50</v>
      </c>
      <c r="G23" s="6">
        <v>50</v>
      </c>
      <c r="H23" s="17">
        <f t="shared" si="0"/>
        <v>0</v>
      </c>
      <c r="I23" s="17">
        <f t="shared" si="1"/>
        <v>0</v>
      </c>
      <c r="J23" s="17">
        <f t="shared" si="2"/>
        <v>0</v>
      </c>
      <c r="K23" s="17">
        <f t="shared" si="3"/>
        <v>0</v>
      </c>
      <c r="L23" s="18">
        <f t="shared" si="4"/>
        <v>1950</v>
      </c>
      <c r="M23" s="30" t="s">
        <v>29</v>
      </c>
    </row>
    <row r="24" spans="1:13">
      <c r="A24" s="99" t="s">
        <v>92</v>
      </c>
      <c r="B24" s="100" t="s">
        <v>93</v>
      </c>
      <c r="C24" s="99" t="s">
        <v>94</v>
      </c>
      <c r="D24" s="99" t="s">
        <v>95</v>
      </c>
      <c r="E24" s="101">
        <v>4</v>
      </c>
      <c r="F24" s="6">
        <v>300</v>
      </c>
      <c r="G24" s="6">
        <v>300</v>
      </c>
      <c r="H24" s="17">
        <f t="shared" si="0"/>
        <v>0</v>
      </c>
      <c r="I24" s="17">
        <f t="shared" si="1"/>
        <v>0</v>
      </c>
      <c r="J24" s="17">
        <f t="shared" si="2"/>
        <v>0</v>
      </c>
      <c r="K24" s="17">
        <f t="shared" si="3"/>
        <v>0</v>
      </c>
      <c r="L24" s="18">
        <f t="shared" si="4"/>
        <v>1200</v>
      </c>
      <c r="M24" s="30" t="s">
        <v>78</v>
      </c>
    </row>
    <row r="25" spans="1:13" ht="31.5">
      <c r="A25" s="102" t="s">
        <v>96</v>
      </c>
      <c r="B25" s="103" t="s">
        <v>93</v>
      </c>
      <c r="C25" s="102" t="s">
        <v>97</v>
      </c>
      <c r="D25" s="102" t="s">
        <v>28</v>
      </c>
      <c r="E25" s="101">
        <v>12</v>
      </c>
      <c r="F25" s="6">
        <v>1500</v>
      </c>
      <c r="G25" s="6">
        <v>1500</v>
      </c>
      <c r="H25" s="17">
        <f t="shared" si="0"/>
        <v>0</v>
      </c>
      <c r="I25" s="17">
        <f t="shared" si="1"/>
        <v>0</v>
      </c>
      <c r="J25" s="17">
        <f t="shared" si="2"/>
        <v>0</v>
      </c>
      <c r="K25" s="17">
        <f t="shared" si="3"/>
        <v>0</v>
      </c>
      <c r="L25" s="18">
        <f t="shared" si="4"/>
        <v>18000</v>
      </c>
      <c r="M25" s="30" t="s">
        <v>98</v>
      </c>
    </row>
    <row r="26" spans="1:13">
      <c r="A26" s="99" t="s">
        <v>99</v>
      </c>
      <c r="B26" s="100" t="s">
        <v>100</v>
      </c>
      <c r="C26" s="99" t="s">
        <v>101</v>
      </c>
      <c r="D26" s="99" t="s">
        <v>77</v>
      </c>
      <c r="E26" s="101">
        <v>1.33</v>
      </c>
      <c r="F26" s="6">
        <v>200</v>
      </c>
      <c r="G26" s="6">
        <v>200</v>
      </c>
      <c r="H26" s="17">
        <f t="shared" si="0"/>
        <v>0</v>
      </c>
      <c r="I26" s="17">
        <f t="shared" si="1"/>
        <v>0</v>
      </c>
      <c r="J26" s="17">
        <f t="shared" si="2"/>
        <v>0</v>
      </c>
      <c r="K26" s="17">
        <f t="shared" si="3"/>
        <v>0</v>
      </c>
      <c r="L26" s="18">
        <f t="shared" si="4"/>
        <v>266</v>
      </c>
      <c r="M26" s="30" t="s">
        <v>39</v>
      </c>
    </row>
    <row r="27" spans="1:13">
      <c r="A27" s="99" t="s">
        <v>102</v>
      </c>
      <c r="B27" s="100" t="s">
        <v>87</v>
      </c>
      <c r="C27" s="99" t="s">
        <v>103</v>
      </c>
      <c r="D27" s="99" t="s">
        <v>104</v>
      </c>
      <c r="E27" s="101">
        <v>5.7</v>
      </c>
      <c r="F27" s="6">
        <v>300</v>
      </c>
      <c r="G27" s="6">
        <v>300</v>
      </c>
      <c r="H27" s="17">
        <f t="shared" si="0"/>
        <v>0</v>
      </c>
      <c r="I27" s="17">
        <f t="shared" si="1"/>
        <v>0</v>
      </c>
      <c r="J27" s="17">
        <f t="shared" si="2"/>
        <v>0</v>
      </c>
      <c r="K27" s="17">
        <f t="shared" si="3"/>
        <v>0</v>
      </c>
      <c r="L27" s="18">
        <f t="shared" si="4"/>
        <v>1710</v>
      </c>
      <c r="M27" s="30" t="s">
        <v>29</v>
      </c>
    </row>
    <row r="28" spans="1:13">
      <c r="A28" s="99" t="s">
        <v>105</v>
      </c>
      <c r="B28" s="100" t="s">
        <v>87</v>
      </c>
      <c r="C28" s="99" t="s">
        <v>106</v>
      </c>
      <c r="D28" s="99" t="s">
        <v>107</v>
      </c>
      <c r="E28" s="101">
        <v>6</v>
      </c>
      <c r="H28" s="17">
        <f t="shared" si="0"/>
        <v>0</v>
      </c>
      <c r="I28" s="17">
        <f t="shared" si="1"/>
        <v>0</v>
      </c>
      <c r="J28" s="17">
        <f t="shared" si="2"/>
        <v>0</v>
      </c>
      <c r="K28" s="17">
        <f t="shared" si="3"/>
        <v>0</v>
      </c>
      <c r="L28" s="18">
        <f t="shared" si="4"/>
        <v>0</v>
      </c>
      <c r="M28" s="30"/>
    </row>
    <row r="29" spans="1:13" s="8" customFormat="1">
      <c r="A29" s="20" t="s">
        <v>108</v>
      </c>
      <c r="B29" s="71" t="s">
        <v>109</v>
      </c>
      <c r="C29" s="20" t="s">
        <v>110</v>
      </c>
      <c r="D29" s="20" t="s">
        <v>104</v>
      </c>
      <c r="E29" s="10">
        <v>56.94</v>
      </c>
      <c r="F29" s="7">
        <v>700</v>
      </c>
      <c r="G29" s="7">
        <v>700</v>
      </c>
      <c r="H29" s="13">
        <f t="shared" si="0"/>
        <v>0</v>
      </c>
      <c r="I29" s="13">
        <f t="shared" si="1"/>
        <v>0</v>
      </c>
      <c r="J29" s="13">
        <f t="shared" si="2"/>
        <v>0</v>
      </c>
      <c r="K29" s="13">
        <f t="shared" si="3"/>
        <v>0</v>
      </c>
      <c r="L29" s="14">
        <f t="shared" si="4"/>
        <v>39858</v>
      </c>
      <c r="M29" s="16" t="s">
        <v>111</v>
      </c>
    </row>
    <row r="30" spans="1:13">
      <c r="A30" s="102" t="s">
        <v>112</v>
      </c>
      <c r="B30" s="103" t="s">
        <v>87</v>
      </c>
      <c r="C30" s="102" t="s">
        <v>113</v>
      </c>
      <c r="D30" s="102" t="s">
        <v>114</v>
      </c>
      <c r="E30" s="101">
        <v>68</v>
      </c>
      <c r="F30" s="6">
        <v>3600</v>
      </c>
      <c r="G30" s="6">
        <v>3600</v>
      </c>
      <c r="H30" s="17">
        <f t="shared" si="0"/>
        <v>0</v>
      </c>
      <c r="I30" s="17">
        <f t="shared" si="1"/>
        <v>0</v>
      </c>
      <c r="J30" s="17">
        <f t="shared" si="2"/>
        <v>0</v>
      </c>
      <c r="K30" s="17">
        <f t="shared" si="3"/>
        <v>0</v>
      </c>
      <c r="L30" s="18">
        <f t="shared" si="4"/>
        <v>244800</v>
      </c>
      <c r="M30" s="30" t="s">
        <v>48</v>
      </c>
    </row>
    <row r="31" spans="1:13" ht="31.5">
      <c r="A31" s="102" t="s">
        <v>115</v>
      </c>
      <c r="B31" s="102" t="s">
        <v>116</v>
      </c>
      <c r="C31" s="102" t="s">
        <v>117</v>
      </c>
      <c r="D31" s="102" t="s">
        <v>118</v>
      </c>
      <c r="E31" s="101">
        <v>33</v>
      </c>
      <c r="F31" s="6">
        <v>2400</v>
      </c>
      <c r="G31" s="6">
        <v>2400</v>
      </c>
      <c r="H31" s="17">
        <f t="shared" si="0"/>
        <v>0</v>
      </c>
      <c r="I31" s="17">
        <f t="shared" si="1"/>
        <v>0</v>
      </c>
      <c r="J31" s="17">
        <f t="shared" si="2"/>
        <v>0</v>
      </c>
      <c r="K31" s="17">
        <f t="shared" si="3"/>
        <v>0</v>
      </c>
      <c r="L31" s="18">
        <f t="shared" si="4"/>
        <v>79200</v>
      </c>
      <c r="M31" s="30" t="s">
        <v>119</v>
      </c>
    </row>
    <row r="32" spans="1:13" ht="31.5">
      <c r="A32" s="102" t="s">
        <v>120</v>
      </c>
      <c r="B32" s="103" t="s">
        <v>121</v>
      </c>
      <c r="C32" s="103" t="s">
        <v>122</v>
      </c>
      <c r="D32" s="102" t="s">
        <v>123</v>
      </c>
      <c r="E32" s="101">
        <v>10</v>
      </c>
      <c r="F32" s="6">
        <v>4600</v>
      </c>
      <c r="G32" s="6">
        <v>4600</v>
      </c>
      <c r="H32" s="17">
        <f t="shared" si="0"/>
        <v>0</v>
      </c>
      <c r="I32" s="17">
        <f t="shared" si="1"/>
        <v>0</v>
      </c>
      <c r="J32" s="17">
        <f t="shared" si="2"/>
        <v>0</v>
      </c>
      <c r="K32" s="17">
        <f t="shared" si="3"/>
        <v>0</v>
      </c>
      <c r="L32" s="18">
        <f t="shared" si="4"/>
        <v>46000</v>
      </c>
      <c r="M32" s="30" t="s">
        <v>124</v>
      </c>
    </row>
    <row r="33" spans="1:13" ht="31.5">
      <c r="A33" s="99" t="s">
        <v>125</v>
      </c>
      <c r="B33" s="100" t="s">
        <v>126</v>
      </c>
      <c r="C33" s="99" t="s">
        <v>127</v>
      </c>
      <c r="D33" s="99" t="s">
        <v>56</v>
      </c>
      <c r="E33" s="101">
        <v>42</v>
      </c>
      <c r="F33" s="6">
        <v>410</v>
      </c>
      <c r="G33" s="6">
        <v>410</v>
      </c>
      <c r="H33" s="17">
        <f t="shared" si="0"/>
        <v>0</v>
      </c>
      <c r="I33" s="17">
        <f t="shared" si="1"/>
        <v>0</v>
      </c>
      <c r="J33" s="17">
        <f t="shared" si="2"/>
        <v>0</v>
      </c>
      <c r="K33" s="17">
        <f t="shared" si="3"/>
        <v>0</v>
      </c>
      <c r="L33" s="18">
        <f t="shared" si="4"/>
        <v>17220</v>
      </c>
      <c r="M33" s="30" t="s">
        <v>29</v>
      </c>
    </row>
    <row r="34" spans="1:13" s="8" customFormat="1" ht="31.5">
      <c r="A34" s="20" t="s">
        <v>128</v>
      </c>
      <c r="B34" s="71" t="s">
        <v>126</v>
      </c>
      <c r="C34" s="20" t="s">
        <v>129</v>
      </c>
      <c r="D34" s="20" t="s">
        <v>118</v>
      </c>
      <c r="E34" s="10">
        <v>30</v>
      </c>
      <c r="F34" s="7">
        <v>450</v>
      </c>
      <c r="G34" s="7">
        <v>450</v>
      </c>
      <c r="H34" s="13">
        <f t="shared" si="0"/>
        <v>0</v>
      </c>
      <c r="I34" s="13">
        <f t="shared" si="1"/>
        <v>0</v>
      </c>
      <c r="J34" s="13">
        <f t="shared" si="2"/>
        <v>0</v>
      </c>
      <c r="K34" s="13">
        <f t="shared" si="3"/>
        <v>0</v>
      </c>
      <c r="L34" s="14">
        <f t="shared" si="4"/>
        <v>13500</v>
      </c>
      <c r="M34" s="16" t="s">
        <v>130</v>
      </c>
    </row>
    <row r="35" spans="1:13">
      <c r="A35" s="99" t="s">
        <v>131</v>
      </c>
      <c r="B35" s="99" t="s">
        <v>132</v>
      </c>
      <c r="C35" s="99" t="s">
        <v>133</v>
      </c>
      <c r="D35" s="99" t="s">
        <v>134</v>
      </c>
      <c r="E35" s="101">
        <v>5.8</v>
      </c>
      <c r="F35" s="6">
        <v>300</v>
      </c>
      <c r="G35" s="6">
        <v>300</v>
      </c>
      <c r="H35" s="17">
        <f t="shared" si="0"/>
        <v>0</v>
      </c>
      <c r="I35" s="17">
        <f t="shared" si="1"/>
        <v>0</v>
      </c>
      <c r="J35" s="17">
        <f t="shared" si="2"/>
        <v>0</v>
      </c>
      <c r="K35" s="17">
        <f t="shared" si="3"/>
        <v>0</v>
      </c>
      <c r="L35" s="18">
        <f t="shared" si="4"/>
        <v>1740</v>
      </c>
      <c r="M35" s="30" t="s">
        <v>135</v>
      </c>
    </row>
    <row r="36" spans="1:13" s="8" customFormat="1" ht="31.5">
      <c r="A36" s="67" t="s">
        <v>136</v>
      </c>
      <c r="B36" s="67" t="s">
        <v>137</v>
      </c>
      <c r="C36" s="67" t="s">
        <v>138</v>
      </c>
      <c r="D36" s="67" t="s">
        <v>118</v>
      </c>
      <c r="E36" s="9">
        <v>35</v>
      </c>
      <c r="F36" s="7">
        <v>6000</v>
      </c>
      <c r="G36" s="7">
        <v>6000</v>
      </c>
      <c r="H36" s="13">
        <f t="shared" si="0"/>
        <v>0</v>
      </c>
      <c r="I36" s="13">
        <f t="shared" si="1"/>
        <v>0</v>
      </c>
      <c r="J36" s="13">
        <f t="shared" si="2"/>
        <v>0</v>
      </c>
      <c r="K36" s="13">
        <f t="shared" si="3"/>
        <v>0</v>
      </c>
      <c r="L36" s="14">
        <f t="shared" si="4"/>
        <v>210000</v>
      </c>
      <c r="M36" s="16" t="s">
        <v>289</v>
      </c>
    </row>
    <row r="37" spans="1:13" s="42" customFormat="1" ht="31.5">
      <c r="A37" s="69" t="s">
        <v>140</v>
      </c>
      <c r="B37" s="104" t="s">
        <v>141</v>
      </c>
      <c r="C37" s="69" t="s">
        <v>142</v>
      </c>
      <c r="D37" s="69" t="s">
        <v>123</v>
      </c>
      <c r="E37" s="91">
        <v>10</v>
      </c>
      <c r="F37" s="65">
        <v>200</v>
      </c>
      <c r="G37" s="65">
        <v>200</v>
      </c>
      <c r="H37" s="66">
        <f t="shared" si="0"/>
        <v>0</v>
      </c>
      <c r="I37" s="66">
        <f t="shared" si="1"/>
        <v>0</v>
      </c>
      <c r="J37" s="66">
        <f t="shared" si="2"/>
        <v>0</v>
      </c>
      <c r="K37" s="66">
        <f t="shared" si="3"/>
        <v>0</v>
      </c>
      <c r="L37" s="83">
        <f t="shared" si="4"/>
        <v>2000</v>
      </c>
      <c r="M37" s="84" t="s">
        <v>143</v>
      </c>
    </row>
    <row r="38" spans="1:13" ht="31.5">
      <c r="A38" s="99" t="s">
        <v>144</v>
      </c>
      <c r="B38" s="100" t="s">
        <v>145</v>
      </c>
      <c r="C38" s="99" t="s">
        <v>146</v>
      </c>
      <c r="D38" s="99" t="s">
        <v>118</v>
      </c>
      <c r="E38" s="21">
        <v>5.56</v>
      </c>
      <c r="F38" s="6">
        <v>1300</v>
      </c>
      <c r="G38" s="6">
        <v>1300</v>
      </c>
      <c r="H38" s="17">
        <f t="shared" si="0"/>
        <v>0</v>
      </c>
      <c r="I38" s="17">
        <f t="shared" si="1"/>
        <v>0</v>
      </c>
      <c r="J38" s="17">
        <f t="shared" si="2"/>
        <v>0</v>
      </c>
      <c r="K38" s="17">
        <f t="shared" si="3"/>
        <v>0</v>
      </c>
      <c r="L38" s="18">
        <f t="shared" si="4"/>
        <v>7228</v>
      </c>
      <c r="M38" s="30" t="s">
        <v>139</v>
      </c>
    </row>
    <row r="39" spans="1:13" s="42" customFormat="1" ht="31.5">
      <c r="A39" s="69" t="s">
        <v>147</v>
      </c>
      <c r="B39" s="69" t="s">
        <v>148</v>
      </c>
      <c r="C39" s="69" t="s">
        <v>149</v>
      </c>
      <c r="D39" s="69" t="s">
        <v>118</v>
      </c>
      <c r="E39" s="91">
        <v>0.75</v>
      </c>
      <c r="F39" s="65">
        <v>1700</v>
      </c>
      <c r="G39" s="65">
        <v>1700</v>
      </c>
      <c r="H39" s="66">
        <f t="shared" si="0"/>
        <v>0</v>
      </c>
      <c r="I39" s="66">
        <f t="shared" si="1"/>
        <v>0</v>
      </c>
      <c r="J39" s="66">
        <f t="shared" si="2"/>
        <v>0</v>
      </c>
      <c r="K39" s="66">
        <f t="shared" si="3"/>
        <v>0</v>
      </c>
      <c r="L39" s="83">
        <f t="shared" si="4"/>
        <v>1275</v>
      </c>
      <c r="M39" s="84" t="s">
        <v>85</v>
      </c>
    </row>
    <row r="40" spans="1:13">
      <c r="A40" s="102" t="s">
        <v>150</v>
      </c>
      <c r="B40" s="102" t="s">
        <v>148</v>
      </c>
      <c r="C40" s="102" t="s">
        <v>151</v>
      </c>
      <c r="D40" s="102" t="s">
        <v>152</v>
      </c>
      <c r="E40" s="21">
        <v>90</v>
      </c>
      <c r="F40" s="6">
        <v>60</v>
      </c>
      <c r="G40" s="6">
        <v>60</v>
      </c>
      <c r="H40" s="17">
        <f t="shared" si="0"/>
        <v>0</v>
      </c>
      <c r="I40" s="17">
        <f t="shared" si="1"/>
        <v>0</v>
      </c>
      <c r="J40" s="17">
        <f t="shared" si="2"/>
        <v>0</v>
      </c>
      <c r="K40" s="17">
        <f t="shared" si="3"/>
        <v>0</v>
      </c>
      <c r="L40" s="18">
        <f t="shared" si="4"/>
        <v>5400</v>
      </c>
      <c r="M40" s="30"/>
    </row>
    <row r="41" spans="1:13" s="42" customFormat="1" ht="31.5">
      <c r="A41" s="69" t="s">
        <v>153</v>
      </c>
      <c r="B41" s="69" t="s">
        <v>154</v>
      </c>
      <c r="C41" s="69" t="s">
        <v>155</v>
      </c>
      <c r="D41" s="105" t="s">
        <v>118</v>
      </c>
      <c r="E41" s="91">
        <v>8</v>
      </c>
      <c r="F41" s="65">
        <v>300</v>
      </c>
      <c r="G41" s="65">
        <v>300</v>
      </c>
      <c r="H41" s="66">
        <f t="shared" si="0"/>
        <v>0</v>
      </c>
      <c r="I41" s="66">
        <f t="shared" si="1"/>
        <v>0</v>
      </c>
      <c r="J41" s="66">
        <f t="shared" si="2"/>
        <v>0</v>
      </c>
      <c r="K41" s="66">
        <f t="shared" si="3"/>
        <v>0</v>
      </c>
      <c r="L41" s="83">
        <f t="shared" si="4"/>
        <v>2400</v>
      </c>
      <c r="M41" s="84" t="s">
        <v>139</v>
      </c>
    </row>
    <row r="42" spans="1:13" s="42" customFormat="1" ht="31.5">
      <c r="A42" s="106" t="s">
        <v>156</v>
      </c>
      <c r="B42" s="69" t="s">
        <v>154</v>
      </c>
      <c r="C42" s="106" t="s">
        <v>157</v>
      </c>
      <c r="D42" s="69" t="s">
        <v>158</v>
      </c>
      <c r="E42" s="91">
        <v>1077</v>
      </c>
      <c r="F42" s="65">
        <v>12</v>
      </c>
      <c r="G42" s="65">
        <v>12</v>
      </c>
      <c r="H42" s="66">
        <f t="shared" si="0"/>
        <v>0</v>
      </c>
      <c r="I42" s="66">
        <f t="shared" si="1"/>
        <v>0</v>
      </c>
      <c r="J42" s="66">
        <f t="shared" si="2"/>
        <v>0</v>
      </c>
      <c r="K42" s="66">
        <f t="shared" si="3"/>
        <v>0</v>
      </c>
      <c r="L42" s="83">
        <f t="shared" si="4"/>
        <v>12924</v>
      </c>
      <c r="M42" s="84" t="s">
        <v>159</v>
      </c>
    </row>
    <row r="43" spans="1:13" ht="31.5">
      <c r="A43" s="102" t="s">
        <v>160</v>
      </c>
      <c r="B43" s="102" t="s">
        <v>161</v>
      </c>
      <c r="C43" s="102" t="s">
        <v>162</v>
      </c>
      <c r="D43" s="102" t="s">
        <v>28</v>
      </c>
      <c r="E43" s="101">
        <v>27</v>
      </c>
      <c r="F43" s="6">
        <v>500</v>
      </c>
      <c r="G43" s="6">
        <v>500</v>
      </c>
      <c r="H43" s="17">
        <f t="shared" si="0"/>
        <v>0</v>
      </c>
      <c r="I43" s="17">
        <f t="shared" si="1"/>
        <v>0</v>
      </c>
      <c r="J43" s="17">
        <f t="shared" si="2"/>
        <v>0</v>
      </c>
      <c r="K43" s="17">
        <f t="shared" si="3"/>
        <v>0</v>
      </c>
      <c r="L43" s="18">
        <f t="shared" si="4"/>
        <v>13500</v>
      </c>
      <c r="M43" s="30" t="s">
        <v>24</v>
      </c>
    </row>
    <row r="44" spans="1:13">
      <c r="A44" s="102" t="s">
        <v>163</v>
      </c>
      <c r="B44" s="102" t="s">
        <v>161</v>
      </c>
      <c r="C44" s="102" t="s">
        <v>164</v>
      </c>
      <c r="D44" s="102" t="s">
        <v>165</v>
      </c>
      <c r="E44" s="101">
        <v>280</v>
      </c>
      <c r="F44" s="6">
        <v>200</v>
      </c>
      <c r="G44" s="6">
        <v>200</v>
      </c>
      <c r="H44" s="17">
        <f t="shared" si="0"/>
        <v>0</v>
      </c>
      <c r="I44" s="17">
        <f t="shared" si="1"/>
        <v>0</v>
      </c>
      <c r="J44" s="17">
        <f t="shared" si="2"/>
        <v>0</v>
      </c>
      <c r="K44" s="17">
        <f t="shared" si="3"/>
        <v>0</v>
      </c>
      <c r="L44" s="18">
        <f t="shared" si="4"/>
        <v>56000</v>
      </c>
      <c r="M44" s="30" t="s">
        <v>166</v>
      </c>
    </row>
    <row r="45" spans="1:13" s="42" customFormat="1" ht="31.5">
      <c r="A45" s="69" t="s">
        <v>167</v>
      </c>
      <c r="B45" s="104" t="s">
        <v>168</v>
      </c>
      <c r="C45" s="69" t="s">
        <v>169</v>
      </c>
      <c r="D45" s="69" t="s">
        <v>28</v>
      </c>
      <c r="E45" s="64">
        <v>1190</v>
      </c>
      <c r="F45" s="65">
        <v>20</v>
      </c>
      <c r="G45" s="65">
        <v>20</v>
      </c>
      <c r="H45" s="66">
        <f t="shared" si="0"/>
        <v>0</v>
      </c>
      <c r="I45" s="66">
        <f t="shared" si="1"/>
        <v>0</v>
      </c>
      <c r="J45" s="66">
        <f t="shared" si="2"/>
        <v>0</v>
      </c>
      <c r="K45" s="66">
        <f t="shared" si="3"/>
        <v>0</v>
      </c>
      <c r="L45" s="83">
        <f t="shared" si="4"/>
        <v>23800</v>
      </c>
      <c r="M45" s="84" t="s">
        <v>139</v>
      </c>
    </row>
    <row r="46" spans="1:13" s="42" customFormat="1" ht="31.5">
      <c r="A46" s="69" t="s">
        <v>170</v>
      </c>
      <c r="B46" s="104" t="s">
        <v>171</v>
      </c>
      <c r="C46" s="42" t="s">
        <v>172</v>
      </c>
      <c r="D46" s="69" t="s">
        <v>56</v>
      </c>
      <c r="E46" s="64">
        <v>100</v>
      </c>
      <c r="F46" s="65">
        <v>10</v>
      </c>
      <c r="G46" s="65">
        <v>10</v>
      </c>
      <c r="H46" s="66">
        <f t="shared" si="0"/>
        <v>0</v>
      </c>
      <c r="I46" s="66">
        <f t="shared" si="1"/>
        <v>0</v>
      </c>
      <c r="J46" s="66">
        <f t="shared" si="2"/>
        <v>0</v>
      </c>
      <c r="K46" s="66">
        <f t="shared" si="3"/>
        <v>0</v>
      </c>
      <c r="L46" s="83">
        <f t="shared" si="4"/>
        <v>1000</v>
      </c>
      <c r="M46" s="84" t="s">
        <v>52</v>
      </c>
    </row>
    <row r="47" spans="1:13">
      <c r="A47" s="99" t="s">
        <v>173</v>
      </c>
      <c r="B47" s="100" t="s">
        <v>174</v>
      </c>
      <c r="C47" s="3" t="s">
        <v>175</v>
      </c>
      <c r="D47" s="99" t="s">
        <v>175</v>
      </c>
      <c r="E47" s="101">
        <v>45</v>
      </c>
      <c r="F47" s="6">
        <v>700</v>
      </c>
      <c r="G47" s="6">
        <v>700</v>
      </c>
      <c r="H47" s="17">
        <f t="shared" si="0"/>
        <v>0</v>
      </c>
      <c r="I47" s="17">
        <f t="shared" si="1"/>
        <v>0</v>
      </c>
      <c r="J47" s="17">
        <f t="shared" si="2"/>
        <v>0</v>
      </c>
      <c r="K47" s="17">
        <f t="shared" si="3"/>
        <v>0</v>
      </c>
      <c r="L47" s="18">
        <f t="shared" si="4"/>
        <v>31500</v>
      </c>
      <c r="M47" s="30" t="s">
        <v>139</v>
      </c>
    </row>
    <row r="48" spans="1:13" s="42" customFormat="1">
      <c r="A48" s="69" t="s">
        <v>176</v>
      </c>
      <c r="B48" s="104" t="s">
        <v>177</v>
      </c>
      <c r="C48" s="69" t="s">
        <v>178</v>
      </c>
      <c r="D48" s="69" t="s">
        <v>179</v>
      </c>
      <c r="E48" s="64">
        <v>5</v>
      </c>
      <c r="F48" s="65">
        <v>5400</v>
      </c>
      <c r="G48" s="65">
        <v>5400</v>
      </c>
      <c r="H48" s="66">
        <f t="shared" si="0"/>
        <v>0</v>
      </c>
      <c r="I48" s="66">
        <f t="shared" si="1"/>
        <v>0</v>
      </c>
      <c r="J48" s="66">
        <f t="shared" si="2"/>
        <v>0</v>
      </c>
      <c r="K48" s="66">
        <f t="shared" si="3"/>
        <v>0</v>
      </c>
      <c r="L48" s="83">
        <f t="shared" si="4"/>
        <v>27000</v>
      </c>
      <c r="M48" s="84" t="s">
        <v>52</v>
      </c>
    </row>
    <row r="49" spans="1:13 16384:16384" ht="31.5">
      <c r="A49" s="102" t="s">
        <v>180</v>
      </c>
      <c r="B49" s="102" t="s">
        <v>161</v>
      </c>
      <c r="C49" s="102" t="s">
        <v>181</v>
      </c>
      <c r="D49" s="102" t="s">
        <v>118</v>
      </c>
      <c r="E49" s="101">
        <v>2.5</v>
      </c>
      <c r="F49" s="6">
        <v>2700</v>
      </c>
      <c r="G49" s="6">
        <v>2700</v>
      </c>
      <c r="H49" s="17">
        <f t="shared" si="0"/>
        <v>0</v>
      </c>
      <c r="I49" s="17">
        <f t="shared" si="1"/>
        <v>0</v>
      </c>
      <c r="J49" s="17">
        <f t="shared" si="2"/>
        <v>0</v>
      </c>
      <c r="K49" s="17">
        <f t="shared" si="3"/>
        <v>0</v>
      </c>
      <c r="L49" s="18">
        <f t="shared" si="4"/>
        <v>6750</v>
      </c>
      <c r="M49" s="30" t="s">
        <v>29</v>
      </c>
    </row>
    <row r="50" spans="1:13 16384:16384" s="42" customFormat="1">
      <c r="A50" s="69" t="s">
        <v>182</v>
      </c>
      <c r="B50" s="69" t="s">
        <v>183</v>
      </c>
      <c r="C50" s="69" t="s">
        <v>184</v>
      </c>
      <c r="D50" s="69" t="s">
        <v>185</v>
      </c>
      <c r="E50" s="64">
        <v>53</v>
      </c>
      <c r="F50" s="65">
        <v>6300</v>
      </c>
      <c r="G50" s="65">
        <v>6300</v>
      </c>
      <c r="H50" s="66">
        <f t="shared" si="0"/>
        <v>0</v>
      </c>
      <c r="I50" s="66">
        <f t="shared" si="1"/>
        <v>0</v>
      </c>
      <c r="J50" s="66">
        <f t="shared" si="2"/>
        <v>0</v>
      </c>
      <c r="K50" s="66">
        <f t="shared" si="3"/>
        <v>0</v>
      </c>
      <c r="L50" s="83">
        <f t="shared" si="4"/>
        <v>333900</v>
      </c>
      <c r="M50" s="84" t="s">
        <v>19</v>
      </c>
    </row>
    <row r="51" spans="1:13 16384:16384" s="42" customFormat="1">
      <c r="A51" s="69" t="s">
        <v>186</v>
      </c>
      <c r="B51" s="69" t="s">
        <v>183</v>
      </c>
      <c r="C51" s="69" t="s">
        <v>187</v>
      </c>
      <c r="D51" s="69" t="s">
        <v>185</v>
      </c>
      <c r="E51" s="64">
        <v>42</v>
      </c>
      <c r="F51" s="65">
        <v>0</v>
      </c>
      <c r="G51" s="65">
        <v>0</v>
      </c>
      <c r="H51" s="66">
        <f t="shared" si="0"/>
        <v>0</v>
      </c>
      <c r="I51" s="66">
        <f t="shared" si="1"/>
        <v>0</v>
      </c>
      <c r="J51" s="66">
        <f t="shared" si="2"/>
        <v>0</v>
      </c>
      <c r="K51" s="66">
        <f t="shared" si="3"/>
        <v>0</v>
      </c>
      <c r="L51" s="83">
        <f t="shared" si="4"/>
        <v>0</v>
      </c>
      <c r="M51" s="84" t="s">
        <v>188</v>
      </c>
    </row>
    <row r="52" spans="1:13 16384:16384">
      <c r="A52" s="99"/>
      <c r="B52" s="99" t="s">
        <v>183</v>
      </c>
      <c r="C52" s="99" t="s">
        <v>189</v>
      </c>
      <c r="D52" s="99" t="s">
        <v>190</v>
      </c>
      <c r="E52" s="101">
        <v>1100</v>
      </c>
      <c r="F52" s="6">
        <v>60</v>
      </c>
      <c r="G52" s="6">
        <v>60</v>
      </c>
      <c r="H52" s="17">
        <f t="shared" si="0"/>
        <v>0</v>
      </c>
      <c r="I52" s="17">
        <f t="shared" si="1"/>
        <v>0</v>
      </c>
      <c r="J52" s="17">
        <f t="shared" si="2"/>
        <v>0</v>
      </c>
      <c r="K52" s="17">
        <f t="shared" si="3"/>
        <v>0</v>
      </c>
      <c r="L52" s="18">
        <f t="shared" si="4"/>
        <v>66000</v>
      </c>
      <c r="M52" s="30" t="s">
        <v>139</v>
      </c>
    </row>
    <row r="53" spans="1:13 16384:16384" ht="31.5">
      <c r="A53" s="99" t="s">
        <v>191</v>
      </c>
      <c r="B53" s="100" t="s">
        <v>192</v>
      </c>
      <c r="C53" s="99" t="s">
        <v>193</v>
      </c>
      <c r="D53" s="99" t="s">
        <v>118</v>
      </c>
      <c r="E53" s="101">
        <v>0.55000000000000004</v>
      </c>
      <c r="F53" s="6">
        <v>2500</v>
      </c>
      <c r="G53" s="6">
        <v>2500</v>
      </c>
      <c r="H53" s="17">
        <f t="shared" si="0"/>
        <v>0</v>
      </c>
      <c r="I53" s="17">
        <f t="shared" si="1"/>
        <v>0</v>
      </c>
      <c r="J53" s="17">
        <f t="shared" si="2"/>
        <v>0</v>
      </c>
      <c r="K53" s="17">
        <f t="shared" si="3"/>
        <v>0</v>
      </c>
      <c r="L53" s="18">
        <f t="shared" si="4"/>
        <v>1375</v>
      </c>
      <c r="M53" s="30" t="s">
        <v>69</v>
      </c>
    </row>
    <row r="54" spans="1:13 16384:16384" ht="31.5">
      <c r="A54" s="57" t="s">
        <v>194</v>
      </c>
      <c r="B54" s="61" t="s">
        <v>195</v>
      </c>
      <c r="C54" s="57" t="s">
        <v>196</v>
      </c>
      <c r="D54" s="57" t="s">
        <v>118</v>
      </c>
      <c r="E54" s="21">
        <v>2</v>
      </c>
      <c r="F54" s="6">
        <v>2700</v>
      </c>
      <c r="G54" s="6">
        <v>2700</v>
      </c>
      <c r="H54" s="17">
        <f t="shared" si="0"/>
        <v>0</v>
      </c>
      <c r="I54" s="17">
        <f t="shared" si="1"/>
        <v>0</v>
      </c>
      <c r="J54" s="17">
        <f t="shared" si="2"/>
        <v>0</v>
      </c>
      <c r="K54" s="17">
        <f t="shared" si="3"/>
        <v>0</v>
      </c>
      <c r="L54" s="18">
        <f t="shared" si="4"/>
        <v>5400</v>
      </c>
      <c r="M54" s="30" t="s">
        <v>197</v>
      </c>
    </row>
    <row r="55" spans="1:13 16384:16384" ht="31.5">
      <c r="A55" s="99" t="s">
        <v>198</v>
      </c>
      <c r="B55" s="100" t="s">
        <v>195</v>
      </c>
      <c r="C55" s="99" t="s">
        <v>199</v>
      </c>
      <c r="D55" s="99" t="s">
        <v>56</v>
      </c>
      <c r="E55" s="21">
        <v>25</v>
      </c>
      <c r="F55" s="6">
        <v>3100</v>
      </c>
      <c r="G55" s="6">
        <v>3100</v>
      </c>
      <c r="H55" s="17">
        <f t="shared" si="0"/>
        <v>0</v>
      </c>
      <c r="I55" s="17">
        <f t="shared" si="1"/>
        <v>0</v>
      </c>
      <c r="J55" s="17">
        <f t="shared" si="2"/>
        <v>0</v>
      </c>
      <c r="K55" s="17">
        <f t="shared" si="3"/>
        <v>0</v>
      </c>
      <c r="L55" s="18">
        <f t="shared" si="4"/>
        <v>77500</v>
      </c>
      <c r="M55" s="30" t="s">
        <v>200</v>
      </c>
    </row>
    <row r="56" spans="1:13 16384:16384" ht="31.5">
      <c r="A56" s="60" t="s">
        <v>201</v>
      </c>
      <c r="B56" s="72" t="s">
        <v>202</v>
      </c>
      <c r="C56" s="60" t="s">
        <v>203</v>
      </c>
      <c r="D56" s="72" t="s">
        <v>190</v>
      </c>
      <c r="E56" s="21">
        <v>78.099999999999994</v>
      </c>
      <c r="F56" s="6">
        <v>1040</v>
      </c>
      <c r="G56" s="6">
        <v>1040</v>
      </c>
      <c r="H56" s="17">
        <f t="shared" si="0"/>
        <v>0</v>
      </c>
      <c r="I56" s="17">
        <f t="shared" si="1"/>
        <v>0</v>
      </c>
      <c r="J56" s="17">
        <f t="shared" si="2"/>
        <v>0</v>
      </c>
      <c r="K56" s="17">
        <f t="shared" si="3"/>
        <v>0</v>
      </c>
      <c r="L56" s="18">
        <f t="shared" si="4"/>
        <v>81224</v>
      </c>
      <c r="M56" s="30" t="s">
        <v>29</v>
      </c>
    </row>
    <row r="57" spans="1:13 16384:16384" s="44" customFormat="1">
      <c r="A57" s="57" t="s">
        <v>204</v>
      </c>
      <c r="B57" s="57" t="s">
        <v>205</v>
      </c>
      <c r="C57" s="57" t="s">
        <v>206</v>
      </c>
      <c r="D57" s="61" t="s">
        <v>207</v>
      </c>
      <c r="E57" s="21">
        <v>170.77</v>
      </c>
      <c r="F57" s="6">
        <v>300</v>
      </c>
      <c r="G57" s="6">
        <v>300</v>
      </c>
      <c r="H57" s="59">
        <f t="shared" si="0"/>
        <v>0</v>
      </c>
      <c r="I57" s="59">
        <f t="shared" si="1"/>
        <v>0</v>
      </c>
      <c r="J57" s="59">
        <f t="shared" si="2"/>
        <v>0</v>
      </c>
      <c r="K57" s="59">
        <f t="shared" si="3"/>
        <v>0</v>
      </c>
      <c r="L57" s="81">
        <f t="shared" si="4"/>
        <v>51231</v>
      </c>
      <c r="M57" s="82" t="s">
        <v>188</v>
      </c>
    </row>
    <row r="58" spans="1:13 16384:16384" ht="31.5">
      <c r="A58" s="99" t="s">
        <v>208</v>
      </c>
      <c r="B58" s="99" t="s">
        <v>209</v>
      </c>
      <c r="C58" s="99" t="s">
        <v>210</v>
      </c>
      <c r="D58" s="99" t="s">
        <v>118</v>
      </c>
      <c r="E58" s="21">
        <v>75.41</v>
      </c>
      <c r="F58" s="6">
        <v>300</v>
      </c>
      <c r="G58" s="6">
        <v>300</v>
      </c>
      <c r="H58" s="17">
        <f t="shared" si="0"/>
        <v>0</v>
      </c>
      <c r="I58" s="17">
        <f t="shared" si="1"/>
        <v>0</v>
      </c>
      <c r="J58" s="17">
        <f t="shared" si="2"/>
        <v>0</v>
      </c>
      <c r="K58" s="17">
        <f t="shared" si="3"/>
        <v>0</v>
      </c>
      <c r="L58" s="18">
        <f t="shared" si="4"/>
        <v>22623</v>
      </c>
      <c r="M58" s="30" t="s">
        <v>211</v>
      </c>
    </row>
    <row r="59" spans="1:13 16384:16384" ht="31.5">
      <c r="A59" s="99" t="s">
        <v>212</v>
      </c>
      <c r="B59" s="100" t="s">
        <v>213</v>
      </c>
      <c r="C59" s="99" t="s">
        <v>214</v>
      </c>
      <c r="D59" s="99" t="s">
        <v>215</v>
      </c>
      <c r="E59" s="21">
        <v>165</v>
      </c>
      <c r="F59" s="6">
        <v>50</v>
      </c>
      <c r="G59" s="6">
        <v>50</v>
      </c>
      <c r="H59" s="17">
        <f t="shared" si="0"/>
        <v>0</v>
      </c>
      <c r="I59" s="17">
        <f t="shared" si="1"/>
        <v>0</v>
      </c>
      <c r="J59" s="17">
        <f t="shared" si="2"/>
        <v>0</v>
      </c>
      <c r="K59" s="17">
        <f t="shared" si="3"/>
        <v>0</v>
      </c>
      <c r="L59" s="18">
        <f t="shared" si="4"/>
        <v>8250</v>
      </c>
      <c r="M59" s="30" t="s">
        <v>211</v>
      </c>
    </row>
    <row r="60" spans="1:13 16384:16384" ht="31.5">
      <c r="A60" s="99" t="s">
        <v>216</v>
      </c>
      <c r="B60" s="100" t="s">
        <v>217</v>
      </c>
      <c r="C60" s="99" t="s">
        <v>218</v>
      </c>
      <c r="D60" s="99" t="s">
        <v>118</v>
      </c>
      <c r="E60" s="21">
        <v>0.75</v>
      </c>
      <c r="F60" s="6">
        <v>1540</v>
      </c>
      <c r="G60" s="6">
        <v>1540</v>
      </c>
      <c r="H60" s="17">
        <f t="shared" si="0"/>
        <v>0</v>
      </c>
      <c r="I60" s="17">
        <f t="shared" si="1"/>
        <v>0</v>
      </c>
      <c r="J60" s="17">
        <f t="shared" si="2"/>
        <v>0</v>
      </c>
      <c r="K60" s="17">
        <f t="shared" si="3"/>
        <v>0</v>
      </c>
      <c r="L60" s="18">
        <f t="shared" si="4"/>
        <v>1155</v>
      </c>
      <c r="M60" s="30" t="s">
        <v>19</v>
      </c>
    </row>
    <row r="61" spans="1:13 16384:16384">
      <c r="A61" s="99" t="s">
        <v>219</v>
      </c>
      <c r="B61" s="100" t="s">
        <v>220</v>
      </c>
      <c r="C61" s="4" t="s">
        <v>221</v>
      </c>
      <c r="D61" s="4" t="s">
        <v>222</v>
      </c>
      <c r="E61" s="21">
        <v>10</v>
      </c>
      <c r="F61" s="6">
        <v>2632</v>
      </c>
      <c r="G61" s="6">
        <v>2632</v>
      </c>
      <c r="H61" s="17">
        <f t="shared" si="0"/>
        <v>0</v>
      </c>
      <c r="I61" s="17">
        <f t="shared" si="1"/>
        <v>0</v>
      </c>
      <c r="J61" s="17">
        <f t="shared" si="2"/>
        <v>0</v>
      </c>
      <c r="K61" s="17">
        <f t="shared" si="3"/>
        <v>0</v>
      </c>
      <c r="L61" s="18">
        <f t="shared" si="4"/>
        <v>26320</v>
      </c>
      <c r="M61" s="30" t="s">
        <v>19</v>
      </c>
    </row>
    <row r="62" spans="1:13 16384:16384" ht="31.5">
      <c r="A62" s="99" t="s">
        <v>223</v>
      </c>
      <c r="B62" s="100" t="s">
        <v>224</v>
      </c>
      <c r="C62" s="99" t="s">
        <v>225</v>
      </c>
      <c r="D62" s="99" t="s">
        <v>118</v>
      </c>
      <c r="E62" s="21">
        <v>1.3</v>
      </c>
      <c r="F62" s="6">
        <v>2464</v>
      </c>
      <c r="G62" s="6">
        <v>2464</v>
      </c>
      <c r="H62" s="17">
        <f t="shared" si="0"/>
        <v>0</v>
      </c>
      <c r="I62" s="17">
        <f t="shared" si="1"/>
        <v>0</v>
      </c>
      <c r="J62" s="17">
        <f t="shared" si="2"/>
        <v>0</v>
      </c>
      <c r="K62" s="17">
        <f t="shared" si="3"/>
        <v>0</v>
      </c>
      <c r="L62" s="18">
        <f t="shared" si="4"/>
        <v>3203.2</v>
      </c>
      <c r="M62" s="30" t="s">
        <v>69</v>
      </c>
      <c r="XFD62" s="110">
        <f>SUM(E62:XFC62)</f>
        <v>8132.5</v>
      </c>
    </row>
    <row r="63" spans="1:13 16384:16384">
      <c r="A63" s="99" t="s">
        <v>226</v>
      </c>
      <c r="B63" s="99" t="s">
        <v>227</v>
      </c>
      <c r="C63" s="99" t="s">
        <v>228</v>
      </c>
      <c r="D63" s="100" t="s">
        <v>152</v>
      </c>
      <c r="E63" s="21">
        <v>445</v>
      </c>
      <c r="F63" s="6">
        <v>500</v>
      </c>
      <c r="G63" s="6">
        <v>500</v>
      </c>
      <c r="H63" s="17">
        <f t="shared" si="0"/>
        <v>0</v>
      </c>
      <c r="I63" s="17">
        <f t="shared" si="1"/>
        <v>0</v>
      </c>
      <c r="J63" s="17">
        <f t="shared" si="2"/>
        <v>0</v>
      </c>
      <c r="K63" s="17">
        <f t="shared" si="3"/>
        <v>0</v>
      </c>
      <c r="L63" s="18">
        <f t="shared" si="4"/>
        <v>222500</v>
      </c>
      <c r="M63" s="30" t="s">
        <v>52</v>
      </c>
    </row>
    <row r="64" spans="1:13 16384:16384" s="42" customFormat="1" ht="31.5">
      <c r="A64" s="69" t="s">
        <v>229</v>
      </c>
      <c r="B64" s="104" t="s">
        <v>230</v>
      </c>
      <c r="C64" s="69" t="s">
        <v>133</v>
      </c>
      <c r="D64" s="69" t="s">
        <v>118</v>
      </c>
      <c r="E64" s="91">
        <v>1.24</v>
      </c>
      <c r="F64" s="65">
        <v>1000</v>
      </c>
      <c r="G64" s="65">
        <v>1000</v>
      </c>
      <c r="H64" s="66">
        <f t="shared" si="0"/>
        <v>0</v>
      </c>
      <c r="I64" s="66">
        <f t="shared" si="1"/>
        <v>0</v>
      </c>
      <c r="J64" s="66">
        <f t="shared" si="2"/>
        <v>0</v>
      </c>
      <c r="K64" s="66">
        <f t="shared" si="3"/>
        <v>0</v>
      </c>
      <c r="L64" s="83">
        <f t="shared" si="4"/>
        <v>1240</v>
      </c>
      <c r="M64" s="84" t="s">
        <v>197</v>
      </c>
    </row>
    <row r="65" spans="1:13" s="42" customFormat="1">
      <c r="A65" s="69" t="s">
        <v>231</v>
      </c>
      <c r="B65" s="104" t="s">
        <v>230</v>
      </c>
      <c r="C65" s="69" t="s">
        <v>232</v>
      </c>
      <c r="D65" s="69" t="s">
        <v>233</v>
      </c>
      <c r="E65" s="91">
        <v>9</v>
      </c>
      <c r="F65" s="65">
        <v>900</v>
      </c>
      <c r="G65" s="65">
        <v>900</v>
      </c>
      <c r="H65" s="66">
        <f t="shared" si="0"/>
        <v>0</v>
      </c>
      <c r="I65" s="66">
        <f t="shared" si="1"/>
        <v>0</v>
      </c>
      <c r="J65" s="66">
        <f t="shared" si="2"/>
        <v>0</v>
      </c>
      <c r="K65" s="66">
        <f t="shared" si="3"/>
        <v>0</v>
      </c>
      <c r="L65" s="83">
        <f t="shared" si="4"/>
        <v>8100</v>
      </c>
      <c r="M65" s="84" t="s">
        <v>29</v>
      </c>
    </row>
    <row r="66" spans="1:13" ht="31.5">
      <c r="A66" s="102" t="s">
        <v>235</v>
      </c>
      <c r="B66" s="102" t="s">
        <v>236</v>
      </c>
      <c r="C66" s="102" t="s">
        <v>237</v>
      </c>
      <c r="D66" s="102" t="s">
        <v>118</v>
      </c>
      <c r="E66" s="21">
        <v>3.5</v>
      </c>
      <c r="F66" s="6">
        <v>6500</v>
      </c>
      <c r="G66" s="6">
        <v>6500</v>
      </c>
      <c r="H66" s="17">
        <f t="shared" si="0"/>
        <v>0</v>
      </c>
      <c r="I66" s="17">
        <f t="shared" si="1"/>
        <v>0</v>
      </c>
      <c r="J66" s="17">
        <f t="shared" si="2"/>
        <v>0</v>
      </c>
      <c r="K66" s="17">
        <f t="shared" si="3"/>
        <v>0</v>
      </c>
      <c r="L66" s="18">
        <f t="shared" si="4"/>
        <v>22750</v>
      </c>
      <c r="M66" s="30" t="s">
        <v>119</v>
      </c>
    </row>
    <row r="67" spans="1:13" ht="47.25">
      <c r="A67" s="102"/>
      <c r="B67" s="67" t="s">
        <v>239</v>
      </c>
      <c r="C67" s="67" t="s">
        <v>240</v>
      </c>
      <c r="D67" s="67" t="s">
        <v>690</v>
      </c>
      <c r="E67" s="21"/>
      <c r="F67" s="6">
        <v>730</v>
      </c>
      <c r="G67" s="6">
        <v>730</v>
      </c>
      <c r="H67" s="17">
        <f t="shared" si="0"/>
        <v>0</v>
      </c>
      <c r="I67" s="17"/>
      <c r="J67" s="17">
        <f t="shared" si="2"/>
        <v>0</v>
      </c>
      <c r="K67" s="17"/>
      <c r="L67" s="18"/>
      <c r="M67" s="30"/>
    </row>
    <row r="68" spans="1:13" s="8" customFormat="1" ht="47.25">
      <c r="A68" s="67" t="s">
        <v>238</v>
      </c>
      <c r="B68" s="67" t="s">
        <v>239</v>
      </c>
      <c r="C68" s="67" t="s">
        <v>240</v>
      </c>
      <c r="D68" s="67" t="s">
        <v>241</v>
      </c>
      <c r="E68" s="9">
        <v>420</v>
      </c>
      <c r="F68" s="7">
        <v>710</v>
      </c>
      <c r="G68" s="7">
        <v>710</v>
      </c>
      <c r="H68" s="13">
        <f t="shared" si="0"/>
        <v>0</v>
      </c>
      <c r="I68" s="13">
        <f t="shared" si="1"/>
        <v>0</v>
      </c>
      <c r="J68" s="13">
        <f t="shared" si="2"/>
        <v>0</v>
      </c>
      <c r="K68" s="13">
        <f t="shared" si="3"/>
        <v>0</v>
      </c>
      <c r="L68" s="14">
        <f t="shared" si="4"/>
        <v>298200</v>
      </c>
      <c r="M68" s="16">
        <v>46357</v>
      </c>
    </row>
    <row r="69" spans="1:13" s="44" customFormat="1" ht="47.25">
      <c r="A69" s="57" t="s">
        <v>242</v>
      </c>
      <c r="B69" s="57" t="s">
        <v>239</v>
      </c>
      <c r="C69" s="57" t="s">
        <v>240</v>
      </c>
      <c r="D69" s="57" t="s">
        <v>243</v>
      </c>
      <c r="E69" s="21">
        <v>548.37</v>
      </c>
      <c r="F69" s="6">
        <v>730</v>
      </c>
      <c r="G69" s="6">
        <v>730</v>
      </c>
      <c r="H69" s="59">
        <f t="shared" si="0"/>
        <v>0</v>
      </c>
      <c r="I69" s="59">
        <f t="shared" si="1"/>
        <v>0</v>
      </c>
      <c r="J69" s="59">
        <f t="shared" si="2"/>
        <v>0</v>
      </c>
      <c r="K69" s="59">
        <f t="shared" si="3"/>
        <v>0</v>
      </c>
      <c r="L69" s="81">
        <f t="shared" si="4"/>
        <v>400310.1</v>
      </c>
      <c r="M69" s="82">
        <v>46388</v>
      </c>
    </row>
    <row r="70" spans="1:13" ht="31.5">
      <c r="A70" s="99" t="s">
        <v>244</v>
      </c>
      <c r="B70" s="100" t="s">
        <v>245</v>
      </c>
      <c r="C70" s="99" t="s">
        <v>246</v>
      </c>
      <c r="D70" s="100" t="s">
        <v>247</v>
      </c>
      <c r="E70" s="21">
        <v>395</v>
      </c>
      <c r="F70" s="6">
        <v>520</v>
      </c>
      <c r="G70" s="6">
        <v>520</v>
      </c>
      <c r="H70" s="17">
        <f t="shared" si="0"/>
        <v>0</v>
      </c>
      <c r="I70" s="17">
        <f t="shared" si="1"/>
        <v>0</v>
      </c>
      <c r="J70" s="17">
        <f t="shared" si="2"/>
        <v>0</v>
      </c>
      <c r="K70" s="17">
        <f t="shared" si="3"/>
        <v>0</v>
      </c>
      <c r="L70" s="18">
        <f t="shared" si="4"/>
        <v>205400</v>
      </c>
      <c r="M70" s="30" t="s">
        <v>69</v>
      </c>
    </row>
    <row r="71" spans="1:13" s="42" customFormat="1">
      <c r="A71" s="69" t="s">
        <v>248</v>
      </c>
      <c r="B71" s="69" t="s">
        <v>249</v>
      </c>
      <c r="C71" s="69" t="s">
        <v>240</v>
      </c>
      <c r="D71" s="69" t="s">
        <v>250</v>
      </c>
      <c r="E71" s="91">
        <v>59</v>
      </c>
      <c r="F71" s="65">
        <v>1600</v>
      </c>
      <c r="G71" s="65">
        <v>1600</v>
      </c>
      <c r="H71" s="66">
        <f t="shared" ref="H71:H135" si="5">F71-G71</f>
        <v>0</v>
      </c>
      <c r="I71" s="66">
        <f t="shared" ref="I71:I135" si="6">E71*H71</f>
        <v>0</v>
      </c>
      <c r="J71" s="66">
        <f t="shared" ref="J71:J135" si="7">G71-F71</f>
        <v>0</v>
      </c>
      <c r="K71" s="66">
        <f t="shared" ref="K71:K135" si="8">E71*J71</f>
        <v>0</v>
      </c>
      <c r="L71" s="83">
        <f t="shared" ref="L71:L135" si="9">E71*G71</f>
        <v>94400</v>
      </c>
      <c r="M71" s="84" t="s">
        <v>139</v>
      </c>
    </row>
    <row r="72" spans="1:13" ht="31.5">
      <c r="A72" s="99" t="s">
        <v>251</v>
      </c>
      <c r="B72" s="100" t="s">
        <v>252</v>
      </c>
      <c r="C72" s="99" t="s">
        <v>253</v>
      </c>
      <c r="D72" s="99" t="s">
        <v>84</v>
      </c>
      <c r="E72" s="21">
        <v>320</v>
      </c>
      <c r="F72" s="6">
        <v>30</v>
      </c>
      <c r="G72" s="6">
        <v>30</v>
      </c>
      <c r="H72" s="17">
        <f t="shared" si="5"/>
        <v>0</v>
      </c>
      <c r="I72" s="17">
        <f t="shared" si="6"/>
        <v>0</v>
      </c>
      <c r="J72" s="17">
        <f t="shared" si="7"/>
        <v>0</v>
      </c>
      <c r="K72" s="17">
        <f t="shared" si="8"/>
        <v>0</v>
      </c>
      <c r="L72" s="18">
        <f t="shared" si="9"/>
        <v>9600</v>
      </c>
      <c r="M72" s="30" t="s">
        <v>124</v>
      </c>
    </row>
    <row r="73" spans="1:13" s="42" customFormat="1">
      <c r="A73" s="69" t="s">
        <v>254</v>
      </c>
      <c r="B73" s="104" t="s">
        <v>255</v>
      </c>
      <c r="C73" s="69" t="s">
        <v>256</v>
      </c>
      <c r="D73" s="69" t="s">
        <v>257</v>
      </c>
      <c r="E73" s="91">
        <v>446</v>
      </c>
      <c r="F73" s="65">
        <v>226</v>
      </c>
      <c r="G73" s="65">
        <v>226</v>
      </c>
      <c r="H73" s="66">
        <f t="shared" si="5"/>
        <v>0</v>
      </c>
      <c r="I73" s="66">
        <f t="shared" si="6"/>
        <v>0</v>
      </c>
      <c r="J73" s="66">
        <f t="shared" si="7"/>
        <v>0</v>
      </c>
      <c r="K73" s="66">
        <f t="shared" si="8"/>
        <v>0</v>
      </c>
      <c r="L73" s="83">
        <f t="shared" si="9"/>
        <v>100796</v>
      </c>
      <c r="M73" s="84" t="s">
        <v>19</v>
      </c>
    </row>
    <row r="74" spans="1:13" ht="31.5">
      <c r="A74" s="99" t="s">
        <v>258</v>
      </c>
      <c r="B74" s="99" t="s">
        <v>259</v>
      </c>
      <c r="C74" s="99" t="s">
        <v>260</v>
      </c>
      <c r="D74" s="99" t="s">
        <v>118</v>
      </c>
      <c r="E74" s="21">
        <v>0.48</v>
      </c>
      <c r="F74" s="6">
        <v>3000</v>
      </c>
      <c r="G74" s="6">
        <v>3000</v>
      </c>
      <c r="H74" s="17">
        <f t="shared" si="5"/>
        <v>0</v>
      </c>
      <c r="I74" s="17">
        <f t="shared" si="6"/>
        <v>0</v>
      </c>
      <c r="J74" s="17">
        <f t="shared" si="7"/>
        <v>0</v>
      </c>
      <c r="K74" s="17">
        <f t="shared" si="8"/>
        <v>0</v>
      </c>
      <c r="L74" s="18">
        <f t="shared" si="9"/>
        <v>1440</v>
      </c>
      <c r="M74" s="30" t="s">
        <v>111</v>
      </c>
    </row>
    <row r="75" spans="1:13" ht="31.5">
      <c r="A75" s="99" t="s">
        <v>261</v>
      </c>
      <c r="B75" s="99" t="s">
        <v>262</v>
      </c>
      <c r="C75" s="99" t="s">
        <v>263</v>
      </c>
      <c r="D75" s="99" t="s">
        <v>118</v>
      </c>
      <c r="E75" s="21">
        <v>5.2</v>
      </c>
      <c r="F75" s="6">
        <v>112</v>
      </c>
      <c r="G75" s="6">
        <v>112</v>
      </c>
      <c r="H75" s="17">
        <f t="shared" si="5"/>
        <v>0</v>
      </c>
      <c r="I75" s="17">
        <f t="shared" si="6"/>
        <v>0</v>
      </c>
      <c r="J75" s="17">
        <f t="shared" si="7"/>
        <v>0</v>
      </c>
      <c r="K75" s="17">
        <f t="shared" si="8"/>
        <v>0</v>
      </c>
      <c r="L75" s="18">
        <f t="shared" si="9"/>
        <v>582.4</v>
      </c>
      <c r="M75" s="30" t="s">
        <v>119</v>
      </c>
    </row>
    <row r="76" spans="1:13" ht="31.5">
      <c r="A76" s="102" t="s">
        <v>264</v>
      </c>
      <c r="B76" s="103" t="s">
        <v>265</v>
      </c>
      <c r="C76" s="102" t="s">
        <v>266</v>
      </c>
      <c r="D76" s="102" t="s">
        <v>61</v>
      </c>
      <c r="E76" s="21">
        <v>1850</v>
      </c>
      <c r="F76" s="6">
        <v>70</v>
      </c>
      <c r="G76" s="6">
        <v>70</v>
      </c>
      <c r="H76" s="17">
        <f t="shared" si="5"/>
        <v>0</v>
      </c>
      <c r="I76" s="17">
        <f t="shared" si="6"/>
        <v>0</v>
      </c>
      <c r="J76" s="17">
        <f t="shared" si="7"/>
        <v>0</v>
      </c>
      <c r="K76" s="17">
        <f t="shared" si="8"/>
        <v>0</v>
      </c>
      <c r="L76" s="18">
        <f t="shared" si="9"/>
        <v>129500</v>
      </c>
      <c r="M76" s="30" t="s">
        <v>166</v>
      </c>
    </row>
    <row r="77" spans="1:13">
      <c r="A77" s="102" t="s">
        <v>267</v>
      </c>
      <c r="B77" s="102" t="s">
        <v>268</v>
      </c>
      <c r="C77" s="102" t="s">
        <v>133</v>
      </c>
      <c r="D77" s="102" t="s">
        <v>185</v>
      </c>
      <c r="E77" s="21">
        <v>2.2000000000000002</v>
      </c>
      <c r="F77" s="6">
        <v>900</v>
      </c>
      <c r="G77" s="6">
        <v>900</v>
      </c>
      <c r="H77" s="17">
        <f t="shared" si="5"/>
        <v>0</v>
      </c>
      <c r="I77" s="17">
        <f t="shared" si="6"/>
        <v>0</v>
      </c>
      <c r="J77" s="17">
        <f t="shared" si="7"/>
        <v>0</v>
      </c>
      <c r="K77" s="17">
        <f t="shared" si="8"/>
        <v>0</v>
      </c>
      <c r="L77" s="18">
        <f t="shared" si="9"/>
        <v>1980</v>
      </c>
      <c r="M77" s="30" t="s">
        <v>78</v>
      </c>
    </row>
    <row r="78" spans="1:13" ht="31.5">
      <c r="A78" s="102" t="s">
        <v>269</v>
      </c>
      <c r="B78" s="102" t="s">
        <v>270</v>
      </c>
      <c r="C78" s="102" t="s">
        <v>271</v>
      </c>
      <c r="D78" s="102" t="s">
        <v>185</v>
      </c>
      <c r="E78" s="21">
        <v>8</v>
      </c>
      <c r="F78" s="6">
        <v>3000</v>
      </c>
      <c r="G78" s="6">
        <v>3000</v>
      </c>
      <c r="H78" s="17">
        <f t="shared" si="5"/>
        <v>0</v>
      </c>
      <c r="I78" s="17">
        <f t="shared" si="6"/>
        <v>0</v>
      </c>
      <c r="J78" s="17">
        <f t="shared" si="7"/>
        <v>0</v>
      </c>
      <c r="K78" s="17">
        <f t="shared" si="8"/>
        <v>0</v>
      </c>
      <c r="L78" s="18">
        <f t="shared" si="9"/>
        <v>24000</v>
      </c>
      <c r="M78" s="30" t="s">
        <v>48</v>
      </c>
    </row>
    <row r="79" spans="1:13" ht="31.5">
      <c r="A79" s="99" t="s">
        <v>272</v>
      </c>
      <c r="B79" s="99" t="s">
        <v>273</v>
      </c>
      <c r="C79" s="99" t="s">
        <v>274</v>
      </c>
      <c r="D79" s="99" t="s">
        <v>118</v>
      </c>
      <c r="E79" s="101">
        <v>33</v>
      </c>
      <c r="F79" s="6">
        <v>1530</v>
      </c>
      <c r="G79" s="6">
        <v>1530</v>
      </c>
      <c r="H79" s="17">
        <f t="shared" si="5"/>
        <v>0</v>
      </c>
      <c r="I79" s="17">
        <f t="shared" si="6"/>
        <v>0</v>
      </c>
      <c r="J79" s="17">
        <f t="shared" si="7"/>
        <v>0</v>
      </c>
      <c r="K79" s="17">
        <f t="shared" si="8"/>
        <v>0</v>
      </c>
      <c r="L79" s="18">
        <f t="shared" si="9"/>
        <v>50490</v>
      </c>
      <c r="M79" s="30" t="s">
        <v>159</v>
      </c>
    </row>
    <row r="80" spans="1:13" ht="63">
      <c r="A80" s="99" t="s">
        <v>275</v>
      </c>
      <c r="B80" s="99" t="s">
        <v>276</v>
      </c>
      <c r="C80" s="99" t="s">
        <v>277</v>
      </c>
      <c r="D80" s="100" t="s">
        <v>190</v>
      </c>
      <c r="E80" s="101">
        <v>95</v>
      </c>
      <c r="F80" s="6">
        <v>2230</v>
      </c>
      <c r="G80" s="6">
        <v>2230</v>
      </c>
      <c r="H80" s="17">
        <f t="shared" si="5"/>
        <v>0</v>
      </c>
      <c r="I80" s="17">
        <f t="shared" si="6"/>
        <v>0</v>
      </c>
      <c r="J80" s="17">
        <f t="shared" si="7"/>
        <v>0</v>
      </c>
      <c r="K80" s="17">
        <f t="shared" si="8"/>
        <v>0</v>
      </c>
      <c r="L80" s="18">
        <f t="shared" si="9"/>
        <v>211850</v>
      </c>
      <c r="M80" s="30" t="s">
        <v>24</v>
      </c>
    </row>
    <row r="81" spans="1:13" ht="47.25">
      <c r="A81" s="102" t="s">
        <v>278</v>
      </c>
      <c r="B81" s="102" t="s">
        <v>276</v>
      </c>
      <c r="C81" s="102" t="s">
        <v>279</v>
      </c>
      <c r="D81" s="102" t="s">
        <v>118</v>
      </c>
      <c r="E81" s="101">
        <v>12</v>
      </c>
      <c r="F81" s="6">
        <v>4400</v>
      </c>
      <c r="G81" s="6">
        <v>4400</v>
      </c>
      <c r="H81" s="17">
        <f t="shared" si="5"/>
        <v>0</v>
      </c>
      <c r="I81" s="17">
        <f t="shared" si="6"/>
        <v>0</v>
      </c>
      <c r="J81" s="17">
        <f t="shared" si="7"/>
        <v>0</v>
      </c>
      <c r="K81" s="17">
        <f t="shared" si="8"/>
        <v>0</v>
      </c>
      <c r="L81" s="18">
        <f t="shared" si="9"/>
        <v>52800</v>
      </c>
      <c r="M81" s="30" t="s">
        <v>159</v>
      </c>
    </row>
    <row r="82" spans="1:13" s="8" customFormat="1" ht="47.25">
      <c r="A82" s="67" t="s">
        <v>280</v>
      </c>
      <c r="B82" s="67" t="s">
        <v>276</v>
      </c>
      <c r="C82" s="67" t="s">
        <v>281</v>
      </c>
      <c r="D82" s="68" t="s">
        <v>185</v>
      </c>
      <c r="E82" s="10">
        <v>11</v>
      </c>
      <c r="F82" s="7">
        <v>2500</v>
      </c>
      <c r="G82" s="7">
        <v>2500</v>
      </c>
      <c r="H82" s="13">
        <f t="shared" si="5"/>
        <v>0</v>
      </c>
      <c r="I82" s="13">
        <f t="shared" si="6"/>
        <v>0</v>
      </c>
      <c r="J82" s="13">
        <f t="shared" si="7"/>
        <v>0</v>
      </c>
      <c r="K82" s="13">
        <f t="shared" si="8"/>
        <v>0</v>
      </c>
      <c r="L82" s="14">
        <f t="shared" si="9"/>
        <v>27500</v>
      </c>
      <c r="M82" s="16" t="s">
        <v>159</v>
      </c>
    </row>
    <row r="83" spans="1:13" ht="31.5">
      <c r="A83" s="99" t="s">
        <v>282</v>
      </c>
      <c r="B83" s="100" t="s">
        <v>283</v>
      </c>
      <c r="C83" s="99" t="s">
        <v>284</v>
      </c>
      <c r="D83" s="99" t="s">
        <v>84</v>
      </c>
      <c r="E83" s="101">
        <v>140</v>
      </c>
      <c r="F83" s="6">
        <v>220</v>
      </c>
      <c r="G83" s="6">
        <v>220</v>
      </c>
      <c r="H83" s="17">
        <f t="shared" si="5"/>
        <v>0</v>
      </c>
      <c r="I83" s="17">
        <f t="shared" si="6"/>
        <v>0</v>
      </c>
      <c r="J83" s="17">
        <f t="shared" si="7"/>
        <v>0</v>
      </c>
      <c r="K83" s="17">
        <f t="shared" si="8"/>
        <v>0</v>
      </c>
      <c r="L83" s="18">
        <f t="shared" si="9"/>
        <v>30800</v>
      </c>
      <c r="M83" s="30" t="s">
        <v>188</v>
      </c>
    </row>
    <row r="84" spans="1:13" ht="31.5">
      <c r="A84" s="99" t="s">
        <v>285</v>
      </c>
      <c r="B84" s="99" t="s">
        <v>286</v>
      </c>
      <c r="C84" s="99" t="s">
        <v>287</v>
      </c>
      <c r="D84" s="99" t="s">
        <v>288</v>
      </c>
      <c r="E84" s="101">
        <v>23</v>
      </c>
      <c r="F84" s="6">
        <v>330</v>
      </c>
      <c r="G84" s="6">
        <v>330</v>
      </c>
      <c r="H84" s="17">
        <f t="shared" si="5"/>
        <v>0</v>
      </c>
      <c r="I84" s="17">
        <f t="shared" si="6"/>
        <v>0</v>
      </c>
      <c r="J84" s="17">
        <f t="shared" si="7"/>
        <v>0</v>
      </c>
      <c r="K84" s="17">
        <f t="shared" si="8"/>
        <v>0</v>
      </c>
      <c r="L84" s="18">
        <f t="shared" si="9"/>
        <v>7590</v>
      </c>
      <c r="M84" s="30" t="s">
        <v>289</v>
      </c>
    </row>
    <row r="85" spans="1:13" ht="31.5">
      <c r="A85" s="99" t="s">
        <v>290</v>
      </c>
      <c r="B85" s="99" t="s">
        <v>286</v>
      </c>
      <c r="C85" s="99" t="s">
        <v>291</v>
      </c>
      <c r="D85" s="99" t="s">
        <v>292</v>
      </c>
      <c r="E85" s="101">
        <v>89</v>
      </c>
      <c r="F85" s="6">
        <v>285</v>
      </c>
      <c r="G85" s="6">
        <v>285</v>
      </c>
      <c r="H85" s="17">
        <f t="shared" si="5"/>
        <v>0</v>
      </c>
      <c r="I85" s="17">
        <f t="shared" si="6"/>
        <v>0</v>
      </c>
      <c r="J85" s="17">
        <f t="shared" si="7"/>
        <v>0</v>
      </c>
      <c r="K85" s="17">
        <f t="shared" si="8"/>
        <v>0</v>
      </c>
      <c r="L85" s="18">
        <f t="shared" si="9"/>
        <v>25365</v>
      </c>
      <c r="M85" s="30" t="s">
        <v>293</v>
      </c>
    </row>
    <row r="86" spans="1:13" ht="47.25">
      <c r="A86" s="102" t="s">
        <v>294</v>
      </c>
      <c r="B86" s="102" t="s">
        <v>295</v>
      </c>
      <c r="C86" s="102" t="s">
        <v>296</v>
      </c>
      <c r="D86" s="103" t="s">
        <v>190</v>
      </c>
      <c r="E86" s="101">
        <v>32</v>
      </c>
      <c r="F86" s="6">
        <v>450</v>
      </c>
      <c r="G86" s="6">
        <v>450</v>
      </c>
      <c r="H86" s="17">
        <f t="shared" si="5"/>
        <v>0</v>
      </c>
      <c r="I86" s="17">
        <f t="shared" si="6"/>
        <v>0</v>
      </c>
      <c r="J86" s="17">
        <f t="shared" si="7"/>
        <v>0</v>
      </c>
      <c r="K86" s="17">
        <f t="shared" si="8"/>
        <v>0</v>
      </c>
      <c r="L86" s="18">
        <f t="shared" si="9"/>
        <v>14400</v>
      </c>
      <c r="M86" s="30" t="s">
        <v>234</v>
      </c>
    </row>
    <row r="87" spans="1:13" s="42" customFormat="1" ht="31.5">
      <c r="A87" s="69" t="s">
        <v>297</v>
      </c>
      <c r="B87" s="104" t="s">
        <v>298</v>
      </c>
      <c r="C87" s="69" t="s">
        <v>299</v>
      </c>
      <c r="D87" s="104" t="s">
        <v>190</v>
      </c>
      <c r="E87" s="64">
        <v>95.86</v>
      </c>
      <c r="F87" s="65">
        <v>110</v>
      </c>
      <c r="G87" s="65">
        <v>110</v>
      </c>
      <c r="H87" s="66">
        <f t="shared" si="5"/>
        <v>0</v>
      </c>
      <c r="I87" s="66">
        <f t="shared" si="6"/>
        <v>0</v>
      </c>
      <c r="J87" s="66">
        <f t="shared" si="7"/>
        <v>0</v>
      </c>
      <c r="K87" s="66">
        <f t="shared" si="8"/>
        <v>0</v>
      </c>
      <c r="L87" s="83">
        <f t="shared" si="9"/>
        <v>10544.6</v>
      </c>
      <c r="M87" s="84" t="s">
        <v>197</v>
      </c>
    </row>
    <row r="88" spans="1:13" s="42" customFormat="1" ht="31.5">
      <c r="A88" s="62" t="s">
        <v>300</v>
      </c>
      <c r="B88" s="63" t="s">
        <v>301</v>
      </c>
      <c r="C88" s="62" t="s">
        <v>302</v>
      </c>
      <c r="D88" s="63" t="s">
        <v>190</v>
      </c>
      <c r="E88" s="64">
        <v>34</v>
      </c>
      <c r="F88" s="65">
        <v>3650</v>
      </c>
      <c r="G88" s="65">
        <v>3650</v>
      </c>
      <c r="H88" s="66">
        <f t="shared" si="5"/>
        <v>0</v>
      </c>
      <c r="I88" s="66">
        <f t="shared" si="6"/>
        <v>0</v>
      </c>
      <c r="J88" s="66">
        <f t="shared" si="7"/>
        <v>0</v>
      </c>
      <c r="K88" s="66">
        <f t="shared" si="8"/>
        <v>0</v>
      </c>
      <c r="L88" s="83">
        <f t="shared" si="9"/>
        <v>124100</v>
      </c>
      <c r="M88" s="84" t="s">
        <v>119</v>
      </c>
    </row>
    <row r="89" spans="1:13" ht="31.5">
      <c r="A89" s="102" t="s">
        <v>303</v>
      </c>
      <c r="B89" s="103" t="s">
        <v>304</v>
      </c>
      <c r="C89" s="102" t="s">
        <v>305</v>
      </c>
      <c r="D89" s="102" t="s">
        <v>306</v>
      </c>
      <c r="E89" s="101">
        <v>14</v>
      </c>
      <c r="F89" s="6">
        <v>1100</v>
      </c>
      <c r="G89" s="6">
        <v>1100</v>
      </c>
      <c r="H89" s="17">
        <f t="shared" si="5"/>
        <v>0</v>
      </c>
      <c r="I89" s="17">
        <f t="shared" si="6"/>
        <v>0</v>
      </c>
      <c r="J89" s="17">
        <f t="shared" si="7"/>
        <v>0</v>
      </c>
      <c r="K89" s="17">
        <f t="shared" si="8"/>
        <v>0</v>
      </c>
      <c r="L89" s="18">
        <f t="shared" si="9"/>
        <v>15400</v>
      </c>
      <c r="M89" s="30" t="s">
        <v>19</v>
      </c>
    </row>
    <row r="90" spans="1:13">
      <c r="A90" s="102" t="s">
        <v>307</v>
      </c>
      <c r="B90" s="103" t="s">
        <v>308</v>
      </c>
      <c r="C90" s="102" t="s">
        <v>309</v>
      </c>
      <c r="D90" s="103" t="s">
        <v>190</v>
      </c>
      <c r="E90" s="21">
        <v>370.5</v>
      </c>
      <c r="F90" s="6">
        <v>800</v>
      </c>
      <c r="G90" s="6">
        <v>800</v>
      </c>
      <c r="H90" s="17">
        <f t="shared" si="5"/>
        <v>0</v>
      </c>
      <c r="I90" s="17">
        <f t="shared" si="6"/>
        <v>0</v>
      </c>
      <c r="J90" s="17">
        <f t="shared" si="7"/>
        <v>0</v>
      </c>
      <c r="K90" s="17">
        <f t="shared" si="8"/>
        <v>0</v>
      </c>
      <c r="L90" s="18">
        <f t="shared" si="9"/>
        <v>296400</v>
      </c>
      <c r="M90" s="30" t="s">
        <v>289</v>
      </c>
    </row>
    <row r="91" spans="1:13" ht="31.5">
      <c r="A91" s="102" t="s">
        <v>310</v>
      </c>
      <c r="B91" s="103" t="s">
        <v>308</v>
      </c>
      <c r="C91" s="102" t="s">
        <v>311</v>
      </c>
      <c r="D91" s="103" t="s">
        <v>190</v>
      </c>
      <c r="E91" s="21">
        <v>279</v>
      </c>
      <c r="F91" s="6">
        <v>700</v>
      </c>
      <c r="G91" s="6">
        <v>700</v>
      </c>
      <c r="H91" s="17">
        <f t="shared" si="5"/>
        <v>0</v>
      </c>
      <c r="I91" s="17">
        <f t="shared" si="6"/>
        <v>0</v>
      </c>
      <c r="J91" s="17">
        <f t="shared" si="7"/>
        <v>0</v>
      </c>
      <c r="K91" s="17">
        <f t="shared" si="8"/>
        <v>0</v>
      </c>
      <c r="L91" s="18">
        <f t="shared" si="9"/>
        <v>195300</v>
      </c>
      <c r="M91" s="30" t="s">
        <v>312</v>
      </c>
    </row>
    <row r="92" spans="1:13" ht="47.25">
      <c r="A92" s="102" t="s">
        <v>313</v>
      </c>
      <c r="B92" s="102" t="s">
        <v>319</v>
      </c>
      <c r="C92" s="102" t="s">
        <v>315</v>
      </c>
      <c r="D92" s="102" t="s">
        <v>316</v>
      </c>
      <c r="E92" s="21">
        <v>40</v>
      </c>
      <c r="F92" s="6">
        <v>3420</v>
      </c>
      <c r="G92" s="6">
        <v>3420</v>
      </c>
      <c r="H92" s="17">
        <f t="shared" si="5"/>
        <v>0</v>
      </c>
      <c r="I92" s="17">
        <f t="shared" si="6"/>
        <v>0</v>
      </c>
      <c r="J92" s="17">
        <f t="shared" si="7"/>
        <v>0</v>
      </c>
      <c r="K92" s="17">
        <f t="shared" si="8"/>
        <v>0</v>
      </c>
      <c r="L92" s="18">
        <f t="shared" si="9"/>
        <v>136800</v>
      </c>
      <c r="M92" s="30" t="s">
        <v>317</v>
      </c>
    </row>
    <row r="93" spans="1:13" s="42" customFormat="1">
      <c r="A93" s="62"/>
      <c r="B93" s="62" t="s">
        <v>319</v>
      </c>
      <c r="C93" s="62" t="s">
        <v>175</v>
      </c>
      <c r="D93" s="62"/>
      <c r="E93" s="91"/>
      <c r="F93" s="65">
        <v>2500</v>
      </c>
      <c r="G93" s="65">
        <v>2500</v>
      </c>
      <c r="H93" s="66">
        <f t="shared" si="5"/>
        <v>0</v>
      </c>
      <c r="I93" s="66"/>
      <c r="J93" s="66">
        <f t="shared" si="7"/>
        <v>0</v>
      </c>
      <c r="K93" s="66"/>
      <c r="L93" s="83"/>
      <c r="M93" s="84" t="s">
        <v>691</v>
      </c>
    </row>
    <row r="94" spans="1:13" ht="31.5">
      <c r="A94" s="99" t="s">
        <v>318</v>
      </c>
      <c r="B94" s="99" t="s">
        <v>319</v>
      </c>
      <c r="C94" s="99" t="s">
        <v>320</v>
      </c>
      <c r="D94" s="99" t="s">
        <v>84</v>
      </c>
      <c r="E94" s="111">
        <v>60</v>
      </c>
      <c r="F94" s="6">
        <v>120</v>
      </c>
      <c r="G94" s="6">
        <v>120</v>
      </c>
      <c r="H94" s="17">
        <f t="shared" si="5"/>
        <v>0</v>
      </c>
      <c r="I94" s="17">
        <f t="shared" si="6"/>
        <v>0</v>
      </c>
      <c r="J94" s="17">
        <f t="shared" si="7"/>
        <v>0</v>
      </c>
      <c r="K94" s="17">
        <f t="shared" si="8"/>
        <v>0</v>
      </c>
      <c r="L94" s="18">
        <f t="shared" si="9"/>
        <v>7200</v>
      </c>
      <c r="M94" s="30" t="s">
        <v>321</v>
      </c>
    </row>
    <row r="95" spans="1:13" ht="31.5">
      <c r="A95" s="99" t="s">
        <v>322</v>
      </c>
      <c r="B95" s="99" t="s">
        <v>323</v>
      </c>
      <c r="C95" s="99" t="s">
        <v>76</v>
      </c>
      <c r="D95" s="99" t="s">
        <v>118</v>
      </c>
      <c r="E95" s="21">
        <v>1.26</v>
      </c>
      <c r="F95" s="6">
        <v>400</v>
      </c>
      <c r="G95" s="6">
        <v>400</v>
      </c>
      <c r="H95" s="17">
        <f t="shared" si="5"/>
        <v>0</v>
      </c>
      <c r="I95" s="17">
        <f t="shared" si="6"/>
        <v>0</v>
      </c>
      <c r="J95" s="17">
        <f t="shared" si="7"/>
        <v>0</v>
      </c>
      <c r="K95" s="17">
        <f t="shared" si="8"/>
        <v>0</v>
      </c>
      <c r="L95" s="18">
        <f t="shared" si="9"/>
        <v>504</v>
      </c>
      <c r="M95" s="30" t="s">
        <v>19</v>
      </c>
    </row>
    <row r="96" spans="1:13" s="42" customFormat="1" ht="47.25">
      <c r="A96" s="69" t="s">
        <v>324</v>
      </c>
      <c r="B96" s="69" t="s">
        <v>325</v>
      </c>
      <c r="C96" s="69" t="s">
        <v>326</v>
      </c>
      <c r="D96" s="104" t="s">
        <v>190</v>
      </c>
      <c r="E96" s="91">
        <v>319</v>
      </c>
      <c r="F96" s="65">
        <v>200</v>
      </c>
      <c r="G96" s="65">
        <v>200</v>
      </c>
      <c r="H96" s="66">
        <f t="shared" si="5"/>
        <v>0</v>
      </c>
      <c r="I96" s="66">
        <f t="shared" si="6"/>
        <v>0</v>
      </c>
      <c r="J96" s="66">
        <f t="shared" si="7"/>
        <v>0</v>
      </c>
      <c r="K96" s="66">
        <f t="shared" si="8"/>
        <v>0</v>
      </c>
      <c r="L96" s="83">
        <f t="shared" si="9"/>
        <v>63800</v>
      </c>
      <c r="M96" s="84" t="s">
        <v>692</v>
      </c>
    </row>
    <row r="97" spans="1:13" ht="31.5">
      <c r="A97" s="99" t="s">
        <v>328</v>
      </c>
      <c r="B97" s="100" t="s">
        <v>329</v>
      </c>
      <c r="C97" s="99" t="s">
        <v>330</v>
      </c>
      <c r="D97" s="100" t="s">
        <v>190</v>
      </c>
      <c r="E97" s="101">
        <v>185</v>
      </c>
      <c r="F97" s="6">
        <v>230</v>
      </c>
      <c r="G97" s="6">
        <v>230</v>
      </c>
      <c r="H97" s="17">
        <f t="shared" si="5"/>
        <v>0</v>
      </c>
      <c r="I97" s="17">
        <f t="shared" si="6"/>
        <v>0</v>
      </c>
      <c r="J97" s="17">
        <f t="shared" si="7"/>
        <v>0</v>
      </c>
      <c r="K97" s="17">
        <f t="shared" si="8"/>
        <v>0</v>
      </c>
      <c r="L97" s="18">
        <f t="shared" si="9"/>
        <v>42550</v>
      </c>
      <c r="M97" s="30" t="s">
        <v>48</v>
      </c>
    </row>
    <row r="98" spans="1:13" ht="47.25">
      <c r="A98" s="99" t="s">
        <v>331</v>
      </c>
      <c r="B98" s="99" t="s">
        <v>332</v>
      </c>
      <c r="C98" s="99" t="s">
        <v>333</v>
      </c>
      <c r="D98" s="99" t="s">
        <v>118</v>
      </c>
      <c r="E98" s="101">
        <v>16</v>
      </c>
      <c r="F98" s="6">
        <v>900</v>
      </c>
      <c r="G98" s="6">
        <v>900</v>
      </c>
      <c r="H98" s="17">
        <f t="shared" si="5"/>
        <v>0</v>
      </c>
      <c r="I98" s="17">
        <f t="shared" si="6"/>
        <v>0</v>
      </c>
      <c r="J98" s="17">
        <f t="shared" si="7"/>
        <v>0</v>
      </c>
      <c r="K98" s="17">
        <f t="shared" si="8"/>
        <v>0</v>
      </c>
      <c r="L98" s="18">
        <f t="shared" si="9"/>
        <v>14400</v>
      </c>
      <c r="M98" s="30" t="s">
        <v>29</v>
      </c>
    </row>
    <row r="99" spans="1:13" s="8" customFormat="1" ht="31.5">
      <c r="A99" s="67" t="s">
        <v>334</v>
      </c>
      <c r="B99" s="68" t="s">
        <v>335</v>
      </c>
      <c r="C99" s="67" t="s">
        <v>311</v>
      </c>
      <c r="D99" s="67" t="s">
        <v>190</v>
      </c>
      <c r="E99" s="10">
        <v>135</v>
      </c>
      <c r="F99" s="7">
        <v>0</v>
      </c>
      <c r="G99" s="7">
        <v>0</v>
      </c>
      <c r="H99" s="13">
        <f t="shared" si="5"/>
        <v>0</v>
      </c>
      <c r="I99" s="13">
        <f t="shared" si="6"/>
        <v>0</v>
      </c>
      <c r="J99" s="13">
        <f t="shared" si="7"/>
        <v>0</v>
      </c>
      <c r="K99" s="13">
        <f t="shared" si="8"/>
        <v>0</v>
      </c>
      <c r="L99" s="14">
        <f t="shared" si="9"/>
        <v>0</v>
      </c>
      <c r="M99" s="16" t="s">
        <v>336</v>
      </c>
    </row>
    <row r="100" spans="1:13" s="8" customFormat="1">
      <c r="A100" s="20" t="s">
        <v>337</v>
      </c>
      <c r="B100" s="71" t="s">
        <v>335</v>
      </c>
      <c r="C100" s="20" t="s">
        <v>309</v>
      </c>
      <c r="D100" s="20" t="s">
        <v>190</v>
      </c>
      <c r="E100" s="10">
        <v>125</v>
      </c>
      <c r="F100" s="7">
        <v>280</v>
      </c>
      <c r="G100" s="7">
        <v>280</v>
      </c>
      <c r="H100" s="13">
        <f t="shared" si="5"/>
        <v>0</v>
      </c>
      <c r="I100" s="13">
        <f t="shared" si="6"/>
        <v>0</v>
      </c>
      <c r="J100" s="13">
        <f t="shared" si="7"/>
        <v>0</v>
      </c>
      <c r="K100" s="13">
        <f t="shared" si="8"/>
        <v>0</v>
      </c>
      <c r="L100" s="14">
        <f t="shared" si="9"/>
        <v>35000</v>
      </c>
      <c r="M100" s="16" t="s">
        <v>24</v>
      </c>
    </row>
    <row r="101" spans="1:13" ht="31.5">
      <c r="A101" s="102" t="s">
        <v>338</v>
      </c>
      <c r="B101" s="103" t="s">
        <v>339</v>
      </c>
      <c r="C101" s="102" t="s">
        <v>340</v>
      </c>
      <c r="D101" s="103" t="s">
        <v>190</v>
      </c>
      <c r="E101" s="101">
        <v>800</v>
      </c>
      <c r="F101" s="6">
        <v>411</v>
      </c>
      <c r="G101" s="6">
        <v>411</v>
      </c>
      <c r="H101" s="17">
        <f t="shared" si="5"/>
        <v>0</v>
      </c>
      <c r="I101" s="17">
        <f t="shared" si="6"/>
        <v>0</v>
      </c>
      <c r="J101" s="17">
        <f t="shared" si="7"/>
        <v>0</v>
      </c>
      <c r="K101" s="17">
        <f t="shared" si="8"/>
        <v>0</v>
      </c>
      <c r="L101" s="18">
        <f t="shared" si="9"/>
        <v>328800</v>
      </c>
      <c r="M101" s="30" t="s">
        <v>341</v>
      </c>
    </row>
    <row r="102" spans="1:13">
      <c r="A102" s="99"/>
      <c r="B102" s="100" t="s">
        <v>342</v>
      </c>
      <c r="C102" s="99" t="s">
        <v>343</v>
      </c>
      <c r="D102" s="99" t="s">
        <v>185</v>
      </c>
      <c r="E102" s="101">
        <v>68</v>
      </c>
      <c r="F102" s="6">
        <v>144</v>
      </c>
      <c r="G102" s="6">
        <v>144</v>
      </c>
      <c r="H102" s="17">
        <f t="shared" si="5"/>
        <v>0</v>
      </c>
      <c r="I102" s="17">
        <f t="shared" si="6"/>
        <v>0</v>
      </c>
      <c r="J102" s="17">
        <f t="shared" si="7"/>
        <v>0</v>
      </c>
      <c r="K102" s="17">
        <f t="shared" si="8"/>
        <v>0</v>
      </c>
      <c r="L102" s="18">
        <f t="shared" si="9"/>
        <v>9792</v>
      </c>
      <c r="M102" s="30" t="s">
        <v>130</v>
      </c>
    </row>
    <row r="103" spans="1:13">
      <c r="A103" s="99"/>
      <c r="B103" s="100" t="s">
        <v>344</v>
      </c>
      <c r="C103" s="99" t="s">
        <v>345</v>
      </c>
      <c r="D103" s="100" t="s">
        <v>185</v>
      </c>
      <c r="E103" s="101">
        <v>11</v>
      </c>
      <c r="F103" s="6">
        <v>1200</v>
      </c>
      <c r="G103" s="6">
        <v>1200</v>
      </c>
      <c r="H103" s="17">
        <f t="shared" si="5"/>
        <v>0</v>
      </c>
      <c r="I103" s="17">
        <f t="shared" si="6"/>
        <v>0</v>
      </c>
      <c r="J103" s="17">
        <f t="shared" si="7"/>
        <v>0</v>
      </c>
      <c r="K103" s="17">
        <f t="shared" si="8"/>
        <v>0</v>
      </c>
      <c r="L103" s="18">
        <f t="shared" si="9"/>
        <v>13200</v>
      </c>
      <c r="M103" s="30" t="s">
        <v>98</v>
      </c>
    </row>
    <row r="104" spans="1:13">
      <c r="A104" s="99" t="s">
        <v>346</v>
      </c>
      <c r="B104" s="100" t="s">
        <v>347</v>
      </c>
      <c r="C104" s="99" t="s">
        <v>348</v>
      </c>
      <c r="D104" s="99" t="s">
        <v>179</v>
      </c>
      <c r="E104" s="21">
        <v>15.8</v>
      </c>
      <c r="F104" s="6">
        <v>540</v>
      </c>
      <c r="G104" s="6">
        <v>540</v>
      </c>
      <c r="H104" s="17">
        <f t="shared" si="5"/>
        <v>0</v>
      </c>
      <c r="I104" s="17">
        <f t="shared" si="6"/>
        <v>0</v>
      </c>
      <c r="J104" s="17">
        <f t="shared" si="7"/>
        <v>0</v>
      </c>
      <c r="K104" s="17">
        <f t="shared" si="8"/>
        <v>0</v>
      </c>
      <c r="L104" s="18">
        <f t="shared" si="9"/>
        <v>8532</v>
      </c>
      <c r="M104" s="30" t="s">
        <v>197</v>
      </c>
    </row>
    <row r="105" spans="1:13">
      <c r="A105" s="99" t="s">
        <v>349</v>
      </c>
      <c r="B105" s="100" t="s">
        <v>350</v>
      </c>
      <c r="C105" s="99" t="s">
        <v>351</v>
      </c>
      <c r="D105" s="99" t="s">
        <v>185</v>
      </c>
      <c r="E105" s="21">
        <v>9</v>
      </c>
      <c r="F105" s="6">
        <v>300</v>
      </c>
      <c r="G105" s="6">
        <v>300</v>
      </c>
      <c r="H105" s="17">
        <f t="shared" si="5"/>
        <v>0</v>
      </c>
      <c r="I105" s="17">
        <f t="shared" si="6"/>
        <v>0</v>
      </c>
      <c r="J105" s="17">
        <f t="shared" si="7"/>
        <v>0</v>
      </c>
      <c r="K105" s="17">
        <f t="shared" si="8"/>
        <v>0</v>
      </c>
      <c r="L105" s="18">
        <f t="shared" si="9"/>
        <v>2700</v>
      </c>
      <c r="M105" s="30" t="s">
        <v>48</v>
      </c>
    </row>
    <row r="106" spans="1:13">
      <c r="A106" s="99" t="s">
        <v>352</v>
      </c>
      <c r="B106" s="99" t="s">
        <v>350</v>
      </c>
      <c r="C106" s="99" t="s">
        <v>353</v>
      </c>
      <c r="D106" s="99" t="s">
        <v>354</v>
      </c>
      <c r="E106" s="21">
        <v>15</v>
      </c>
      <c r="F106" s="6">
        <v>35</v>
      </c>
      <c r="G106" s="6">
        <v>35</v>
      </c>
      <c r="H106" s="17">
        <f t="shared" si="5"/>
        <v>0</v>
      </c>
      <c r="I106" s="17">
        <f t="shared" si="6"/>
        <v>0</v>
      </c>
      <c r="J106" s="17">
        <f t="shared" si="7"/>
        <v>0</v>
      </c>
      <c r="K106" s="17">
        <f t="shared" si="8"/>
        <v>0</v>
      </c>
      <c r="L106" s="18">
        <f t="shared" si="9"/>
        <v>525</v>
      </c>
      <c r="M106" s="30" t="s">
        <v>289</v>
      </c>
    </row>
    <row r="107" spans="1:13" ht="31.5">
      <c r="A107" s="99" t="s">
        <v>355</v>
      </c>
      <c r="B107" s="100" t="s">
        <v>356</v>
      </c>
      <c r="C107" s="99" t="s">
        <v>357</v>
      </c>
      <c r="D107" s="100" t="s">
        <v>190</v>
      </c>
      <c r="E107" s="21">
        <v>1300</v>
      </c>
      <c r="F107" s="6">
        <v>73</v>
      </c>
      <c r="G107" s="6">
        <v>73</v>
      </c>
      <c r="H107" s="17">
        <f t="shared" si="5"/>
        <v>0</v>
      </c>
      <c r="I107" s="17">
        <f t="shared" si="6"/>
        <v>0</v>
      </c>
      <c r="J107" s="17">
        <f t="shared" si="7"/>
        <v>0</v>
      </c>
      <c r="K107" s="17">
        <f t="shared" si="8"/>
        <v>0</v>
      </c>
      <c r="L107" s="18">
        <f t="shared" si="9"/>
        <v>94900</v>
      </c>
      <c r="M107" s="30" t="s">
        <v>358</v>
      </c>
    </row>
    <row r="108" spans="1:13" ht="31.5">
      <c r="A108" s="99" t="s">
        <v>359</v>
      </c>
      <c r="B108" s="100" t="s">
        <v>360</v>
      </c>
      <c r="C108" s="99" t="s">
        <v>361</v>
      </c>
      <c r="D108" s="99" t="s">
        <v>362</v>
      </c>
      <c r="E108" s="21">
        <v>650</v>
      </c>
      <c r="F108" s="6">
        <v>80</v>
      </c>
      <c r="G108" s="6">
        <v>80</v>
      </c>
      <c r="H108" s="17">
        <f t="shared" si="5"/>
        <v>0</v>
      </c>
      <c r="I108" s="17">
        <f t="shared" si="6"/>
        <v>0</v>
      </c>
      <c r="J108" s="17">
        <f t="shared" si="7"/>
        <v>0</v>
      </c>
      <c r="K108" s="17">
        <f t="shared" si="8"/>
        <v>0</v>
      </c>
      <c r="L108" s="18">
        <f t="shared" si="9"/>
        <v>52000</v>
      </c>
      <c r="M108" s="30" t="s">
        <v>69</v>
      </c>
    </row>
    <row r="109" spans="1:13" s="42" customFormat="1" ht="31.5">
      <c r="A109" s="69" t="s">
        <v>363</v>
      </c>
      <c r="B109" s="104" t="s">
        <v>364</v>
      </c>
      <c r="C109" s="69" t="s">
        <v>365</v>
      </c>
      <c r="D109" s="69" t="s">
        <v>366</v>
      </c>
      <c r="E109" s="91">
        <v>45</v>
      </c>
      <c r="F109" s="65">
        <v>1455</v>
      </c>
      <c r="G109" s="65">
        <v>1455</v>
      </c>
      <c r="H109" s="66">
        <f t="shared" si="5"/>
        <v>0</v>
      </c>
      <c r="I109" s="66">
        <f t="shared" si="6"/>
        <v>0</v>
      </c>
      <c r="J109" s="66">
        <f t="shared" si="7"/>
        <v>0</v>
      </c>
      <c r="K109" s="66">
        <f t="shared" si="8"/>
        <v>0</v>
      </c>
      <c r="L109" s="83">
        <f t="shared" si="9"/>
        <v>65475</v>
      </c>
      <c r="M109" s="84" t="s">
        <v>166</v>
      </c>
    </row>
    <row r="110" spans="1:13">
      <c r="A110" s="99" t="s">
        <v>367</v>
      </c>
      <c r="B110" s="99" t="s">
        <v>368</v>
      </c>
      <c r="C110" s="99" t="s">
        <v>369</v>
      </c>
      <c r="D110" s="100" t="s">
        <v>185</v>
      </c>
      <c r="E110" s="21">
        <v>10</v>
      </c>
      <c r="F110" s="6">
        <v>2600</v>
      </c>
      <c r="G110" s="6">
        <v>2600</v>
      </c>
      <c r="H110" s="17">
        <f t="shared" si="5"/>
        <v>0</v>
      </c>
      <c r="I110" s="17">
        <f t="shared" si="6"/>
        <v>0</v>
      </c>
      <c r="J110" s="17">
        <f t="shared" si="7"/>
        <v>0</v>
      </c>
      <c r="K110" s="17">
        <f t="shared" si="8"/>
        <v>0</v>
      </c>
      <c r="L110" s="18">
        <f t="shared" si="9"/>
        <v>26000</v>
      </c>
      <c r="M110" s="30" t="s">
        <v>370</v>
      </c>
    </row>
    <row r="111" spans="1:13" ht="63">
      <c r="A111" s="60" t="s">
        <v>371</v>
      </c>
      <c r="B111" s="60" t="s">
        <v>372</v>
      </c>
      <c r="C111" s="60" t="s">
        <v>373</v>
      </c>
      <c r="D111" s="60" t="s">
        <v>374</v>
      </c>
      <c r="E111" s="21">
        <v>1000</v>
      </c>
      <c r="F111" s="6">
        <v>416</v>
      </c>
      <c r="G111" s="6">
        <v>416</v>
      </c>
      <c r="H111" s="17">
        <f t="shared" si="5"/>
        <v>0</v>
      </c>
      <c r="I111" s="17">
        <f t="shared" si="6"/>
        <v>0</v>
      </c>
      <c r="J111" s="17">
        <f t="shared" si="7"/>
        <v>0</v>
      </c>
      <c r="K111" s="17">
        <f t="shared" si="8"/>
        <v>0</v>
      </c>
      <c r="L111" s="18">
        <f t="shared" si="9"/>
        <v>416000</v>
      </c>
      <c r="M111" s="30" t="s">
        <v>188</v>
      </c>
    </row>
    <row r="112" spans="1:13">
      <c r="A112" s="99" t="s">
        <v>375</v>
      </c>
      <c r="B112" s="99" t="s">
        <v>376</v>
      </c>
      <c r="C112" s="99" t="s">
        <v>309</v>
      </c>
      <c r="D112" s="100" t="s">
        <v>190</v>
      </c>
      <c r="E112" s="21">
        <v>1540</v>
      </c>
      <c r="F112" s="6">
        <v>10</v>
      </c>
      <c r="G112" s="6">
        <v>10</v>
      </c>
      <c r="H112" s="17">
        <f t="shared" si="5"/>
        <v>0</v>
      </c>
      <c r="I112" s="17">
        <f t="shared" si="6"/>
        <v>0</v>
      </c>
      <c r="J112" s="17">
        <f t="shared" si="7"/>
        <v>0</v>
      </c>
      <c r="K112" s="17">
        <f t="shared" si="8"/>
        <v>0</v>
      </c>
      <c r="L112" s="18">
        <f t="shared" si="9"/>
        <v>15400</v>
      </c>
      <c r="M112" s="30" t="s">
        <v>143</v>
      </c>
    </row>
    <row r="113" spans="1:13">
      <c r="A113" s="99" t="s">
        <v>377</v>
      </c>
      <c r="B113" s="99" t="s">
        <v>378</v>
      </c>
      <c r="C113" s="99" t="s">
        <v>379</v>
      </c>
      <c r="D113" s="99" t="s">
        <v>190</v>
      </c>
      <c r="E113" s="21">
        <v>1860</v>
      </c>
      <c r="F113" s="6">
        <v>16</v>
      </c>
      <c r="G113" s="6">
        <v>16</v>
      </c>
      <c r="H113" s="17">
        <f t="shared" si="5"/>
        <v>0</v>
      </c>
      <c r="I113" s="17">
        <f t="shared" si="6"/>
        <v>0</v>
      </c>
      <c r="J113" s="17">
        <f t="shared" si="7"/>
        <v>0</v>
      </c>
      <c r="K113" s="17">
        <f t="shared" si="8"/>
        <v>0</v>
      </c>
      <c r="L113" s="18">
        <f t="shared" si="9"/>
        <v>29760</v>
      </c>
      <c r="M113" s="30" t="s">
        <v>135</v>
      </c>
    </row>
    <row r="114" spans="1:13" s="42" customFormat="1">
      <c r="A114" s="69" t="s">
        <v>380</v>
      </c>
      <c r="B114" s="69" t="s">
        <v>381</v>
      </c>
      <c r="C114" s="69" t="s">
        <v>382</v>
      </c>
      <c r="D114" s="104" t="s">
        <v>190</v>
      </c>
      <c r="E114" s="91">
        <v>1500</v>
      </c>
      <c r="F114" s="65">
        <v>10</v>
      </c>
      <c r="G114" s="65">
        <v>10</v>
      </c>
      <c r="H114" s="66">
        <f t="shared" si="5"/>
        <v>0</v>
      </c>
      <c r="I114" s="66">
        <f t="shared" si="6"/>
        <v>0</v>
      </c>
      <c r="J114" s="66">
        <f t="shared" si="7"/>
        <v>0</v>
      </c>
      <c r="K114" s="66">
        <f t="shared" si="8"/>
        <v>0</v>
      </c>
      <c r="L114" s="83">
        <f t="shared" si="9"/>
        <v>15000</v>
      </c>
      <c r="M114" s="84" t="s">
        <v>119</v>
      </c>
    </row>
    <row r="115" spans="1:13" ht="31.5">
      <c r="A115" s="99" t="s">
        <v>383</v>
      </c>
      <c r="B115" s="99" t="s">
        <v>384</v>
      </c>
      <c r="C115" s="99" t="s">
        <v>385</v>
      </c>
      <c r="D115" s="99" t="s">
        <v>386</v>
      </c>
      <c r="E115" s="21">
        <v>36.67</v>
      </c>
      <c r="F115" s="6">
        <v>300</v>
      </c>
      <c r="G115" s="6">
        <v>300</v>
      </c>
      <c r="H115" s="17">
        <f t="shared" si="5"/>
        <v>0</v>
      </c>
      <c r="I115" s="17">
        <f t="shared" si="6"/>
        <v>0</v>
      </c>
      <c r="J115" s="17">
        <f t="shared" si="7"/>
        <v>0</v>
      </c>
      <c r="K115" s="17">
        <f t="shared" si="8"/>
        <v>0</v>
      </c>
      <c r="L115" s="18">
        <f t="shared" si="9"/>
        <v>11001</v>
      </c>
      <c r="M115" s="30" t="s">
        <v>387</v>
      </c>
    </row>
    <row r="116" spans="1:13">
      <c r="A116" s="99" t="s">
        <v>388</v>
      </c>
      <c r="B116" s="99" t="s">
        <v>389</v>
      </c>
      <c r="C116" s="99" t="s">
        <v>390</v>
      </c>
      <c r="D116" s="99" t="s">
        <v>247</v>
      </c>
      <c r="E116" s="21">
        <v>8000</v>
      </c>
      <c r="F116" s="6">
        <v>90</v>
      </c>
      <c r="G116" s="6">
        <v>90</v>
      </c>
      <c r="H116" s="17">
        <f t="shared" si="5"/>
        <v>0</v>
      </c>
      <c r="I116" s="17">
        <f t="shared" si="6"/>
        <v>0</v>
      </c>
      <c r="J116" s="17">
        <f t="shared" si="7"/>
        <v>0</v>
      </c>
      <c r="K116" s="17">
        <f t="shared" si="8"/>
        <v>0</v>
      </c>
      <c r="L116" s="18">
        <f t="shared" si="9"/>
        <v>720000</v>
      </c>
      <c r="M116" s="30" t="s">
        <v>211</v>
      </c>
    </row>
    <row r="117" spans="1:13">
      <c r="A117" s="99" t="s">
        <v>391</v>
      </c>
      <c r="B117" s="99" t="s">
        <v>392</v>
      </c>
      <c r="C117" s="99" t="s">
        <v>393</v>
      </c>
      <c r="D117" s="99" t="s">
        <v>394</v>
      </c>
      <c r="E117" s="21">
        <v>14935</v>
      </c>
      <c r="F117" s="6">
        <v>1</v>
      </c>
      <c r="G117" s="6">
        <v>1</v>
      </c>
      <c r="H117" s="17">
        <f t="shared" si="5"/>
        <v>0</v>
      </c>
      <c r="I117" s="17">
        <f t="shared" si="6"/>
        <v>0</v>
      </c>
      <c r="J117" s="17">
        <f t="shared" si="7"/>
        <v>0</v>
      </c>
      <c r="K117" s="17">
        <f t="shared" si="8"/>
        <v>0</v>
      </c>
      <c r="L117" s="18">
        <f t="shared" si="9"/>
        <v>14935</v>
      </c>
      <c r="M117" s="30" t="s">
        <v>166</v>
      </c>
    </row>
    <row r="118" spans="1:13">
      <c r="A118" s="99" t="s">
        <v>395</v>
      </c>
      <c r="B118" s="100" t="s">
        <v>396</v>
      </c>
      <c r="C118" s="99" t="s">
        <v>369</v>
      </c>
      <c r="D118" s="99" t="s">
        <v>185</v>
      </c>
      <c r="E118" s="21">
        <v>9.35</v>
      </c>
      <c r="F118" s="6">
        <v>3300</v>
      </c>
      <c r="G118" s="6">
        <v>3300</v>
      </c>
      <c r="H118" s="17">
        <f t="shared" si="5"/>
        <v>0</v>
      </c>
      <c r="I118" s="17">
        <f t="shared" si="6"/>
        <v>0</v>
      </c>
      <c r="J118" s="17">
        <f t="shared" si="7"/>
        <v>0</v>
      </c>
      <c r="K118" s="17">
        <f t="shared" si="8"/>
        <v>0</v>
      </c>
      <c r="L118" s="18">
        <f t="shared" si="9"/>
        <v>30855</v>
      </c>
      <c r="M118" s="30" t="s">
        <v>24</v>
      </c>
    </row>
    <row r="119" spans="1:13">
      <c r="A119" s="99" t="s">
        <v>397</v>
      </c>
      <c r="B119" s="100" t="s">
        <v>398</v>
      </c>
      <c r="C119" s="99" t="s">
        <v>399</v>
      </c>
      <c r="D119" s="99" t="s">
        <v>190</v>
      </c>
      <c r="E119" s="21">
        <v>1800</v>
      </c>
      <c r="F119" s="6">
        <v>18</v>
      </c>
      <c r="G119" s="6">
        <v>18</v>
      </c>
      <c r="H119" s="17">
        <f t="shared" si="5"/>
        <v>0</v>
      </c>
      <c r="I119" s="17">
        <f t="shared" si="6"/>
        <v>0</v>
      </c>
      <c r="J119" s="17">
        <f t="shared" si="7"/>
        <v>0</v>
      </c>
      <c r="K119" s="17">
        <f t="shared" si="8"/>
        <v>0</v>
      </c>
      <c r="L119" s="18">
        <f t="shared" si="9"/>
        <v>32400</v>
      </c>
      <c r="M119" s="30" t="s">
        <v>48</v>
      </c>
    </row>
    <row r="120" spans="1:13">
      <c r="A120" s="99" t="s">
        <v>400</v>
      </c>
      <c r="B120" s="100" t="s">
        <v>401</v>
      </c>
      <c r="C120" s="99" t="s">
        <v>402</v>
      </c>
      <c r="D120" s="99" t="s">
        <v>56</v>
      </c>
      <c r="E120" s="21">
        <v>9</v>
      </c>
      <c r="F120" s="6">
        <v>1400</v>
      </c>
      <c r="G120" s="6">
        <v>1400</v>
      </c>
      <c r="H120" s="17">
        <f t="shared" si="5"/>
        <v>0</v>
      </c>
      <c r="I120" s="17">
        <f t="shared" si="6"/>
        <v>0</v>
      </c>
      <c r="J120" s="17">
        <f t="shared" si="7"/>
        <v>0</v>
      </c>
      <c r="K120" s="17">
        <f t="shared" si="8"/>
        <v>0</v>
      </c>
      <c r="L120" s="18">
        <f t="shared" si="9"/>
        <v>12600</v>
      </c>
      <c r="M120" s="30" t="s">
        <v>403</v>
      </c>
    </row>
    <row r="121" spans="1:13" s="42" customFormat="1" ht="31.5">
      <c r="A121" s="69" t="s">
        <v>404</v>
      </c>
      <c r="B121" s="104" t="s">
        <v>405</v>
      </c>
      <c r="C121" s="69" t="s">
        <v>406</v>
      </c>
      <c r="D121" s="69" t="s">
        <v>56</v>
      </c>
      <c r="E121" s="91">
        <v>500</v>
      </c>
      <c r="F121" s="65">
        <v>20</v>
      </c>
      <c r="G121" s="65">
        <v>20</v>
      </c>
      <c r="H121" s="66">
        <f t="shared" si="5"/>
        <v>0</v>
      </c>
      <c r="I121" s="66">
        <f t="shared" si="6"/>
        <v>0</v>
      </c>
      <c r="J121" s="66">
        <f t="shared" si="7"/>
        <v>0</v>
      </c>
      <c r="K121" s="66">
        <f t="shared" si="8"/>
        <v>0</v>
      </c>
      <c r="L121" s="83">
        <f t="shared" si="9"/>
        <v>10000</v>
      </c>
      <c r="M121" s="84" t="s">
        <v>143</v>
      </c>
    </row>
    <row r="122" spans="1:13" ht="31.5">
      <c r="A122" s="99" t="s">
        <v>407</v>
      </c>
      <c r="B122" s="99" t="s">
        <v>408</v>
      </c>
      <c r="C122" s="99" t="s">
        <v>409</v>
      </c>
      <c r="D122" s="99" t="s">
        <v>38</v>
      </c>
      <c r="E122" s="21">
        <v>563.05999999999995</v>
      </c>
      <c r="F122" s="6">
        <v>30</v>
      </c>
      <c r="G122" s="6">
        <v>30</v>
      </c>
      <c r="H122" s="17">
        <f t="shared" si="5"/>
        <v>0</v>
      </c>
      <c r="I122" s="17">
        <f t="shared" si="6"/>
        <v>0</v>
      </c>
      <c r="J122" s="17">
        <f t="shared" si="7"/>
        <v>0</v>
      </c>
      <c r="K122" s="17">
        <f t="shared" si="8"/>
        <v>0</v>
      </c>
      <c r="L122" s="18">
        <f t="shared" si="9"/>
        <v>16891.8</v>
      </c>
      <c r="M122" s="30" t="s">
        <v>48</v>
      </c>
    </row>
    <row r="123" spans="1:13" s="42" customFormat="1">
      <c r="A123" s="62" t="s">
        <v>410</v>
      </c>
      <c r="B123" s="62" t="s">
        <v>411</v>
      </c>
      <c r="C123" s="62" t="s">
        <v>412</v>
      </c>
      <c r="D123" s="62" t="s">
        <v>185</v>
      </c>
      <c r="E123" s="91">
        <v>3</v>
      </c>
      <c r="F123" s="65">
        <v>24700</v>
      </c>
      <c r="G123" s="65">
        <v>24700</v>
      </c>
      <c r="H123" s="66">
        <f t="shared" si="5"/>
        <v>0</v>
      </c>
      <c r="I123" s="66">
        <f t="shared" si="6"/>
        <v>0</v>
      </c>
      <c r="J123" s="66">
        <f t="shared" si="7"/>
        <v>0</v>
      </c>
      <c r="K123" s="66">
        <f t="shared" si="8"/>
        <v>0</v>
      </c>
      <c r="L123" s="83">
        <f t="shared" si="9"/>
        <v>74100</v>
      </c>
      <c r="M123" s="84" t="s">
        <v>197</v>
      </c>
    </row>
    <row r="124" spans="1:13" s="8" customFormat="1" ht="31.5">
      <c r="A124" s="67" t="s">
        <v>413</v>
      </c>
      <c r="B124" s="67" t="s">
        <v>693</v>
      </c>
      <c r="C124" s="67" t="s">
        <v>415</v>
      </c>
      <c r="D124" s="67" t="s">
        <v>56</v>
      </c>
      <c r="E124" s="9">
        <v>7.5</v>
      </c>
      <c r="F124" s="7">
        <v>3900</v>
      </c>
      <c r="G124" s="7">
        <v>3900</v>
      </c>
      <c r="H124" s="13">
        <f t="shared" si="5"/>
        <v>0</v>
      </c>
      <c r="I124" s="13">
        <f t="shared" si="6"/>
        <v>0</v>
      </c>
      <c r="J124" s="13">
        <f t="shared" si="7"/>
        <v>0</v>
      </c>
      <c r="K124" s="13">
        <f t="shared" si="8"/>
        <v>0</v>
      </c>
      <c r="L124" s="14">
        <f t="shared" si="9"/>
        <v>29250</v>
      </c>
      <c r="M124" s="16" t="s">
        <v>19</v>
      </c>
    </row>
    <row r="125" spans="1:13" ht="31.5">
      <c r="A125" s="102" t="s">
        <v>416</v>
      </c>
      <c r="B125" s="102" t="s">
        <v>417</v>
      </c>
      <c r="C125" s="102" t="s">
        <v>146</v>
      </c>
      <c r="D125" s="102" t="s">
        <v>118</v>
      </c>
      <c r="E125" s="21">
        <v>0.62</v>
      </c>
      <c r="F125" s="6">
        <v>8000</v>
      </c>
      <c r="G125" s="6">
        <v>8000</v>
      </c>
      <c r="H125" s="17">
        <f t="shared" si="5"/>
        <v>0</v>
      </c>
      <c r="I125" s="17">
        <f t="shared" si="6"/>
        <v>0</v>
      </c>
      <c r="J125" s="17">
        <f t="shared" si="7"/>
        <v>0</v>
      </c>
      <c r="K125" s="17">
        <f t="shared" si="8"/>
        <v>0</v>
      </c>
      <c r="L125" s="18">
        <f t="shared" si="9"/>
        <v>4960</v>
      </c>
      <c r="M125" s="30" t="s">
        <v>119</v>
      </c>
    </row>
    <row r="126" spans="1:13" ht="31.5">
      <c r="A126" s="102" t="s">
        <v>418</v>
      </c>
      <c r="B126" s="103" t="s">
        <v>419</v>
      </c>
      <c r="C126" s="102" t="s">
        <v>420</v>
      </c>
      <c r="D126" s="102" t="s">
        <v>421</v>
      </c>
      <c r="E126" s="21">
        <v>0.85</v>
      </c>
      <c r="F126" s="6">
        <v>2700</v>
      </c>
      <c r="G126" s="6">
        <v>2700</v>
      </c>
      <c r="H126" s="17">
        <f t="shared" si="5"/>
        <v>0</v>
      </c>
      <c r="I126" s="17">
        <f t="shared" si="6"/>
        <v>0</v>
      </c>
      <c r="J126" s="17">
        <f t="shared" si="7"/>
        <v>0</v>
      </c>
      <c r="K126" s="17">
        <f t="shared" si="8"/>
        <v>0</v>
      </c>
      <c r="L126" s="18">
        <f t="shared" si="9"/>
        <v>2295</v>
      </c>
      <c r="M126" s="30" t="s">
        <v>52</v>
      </c>
    </row>
    <row r="127" spans="1:13" ht="31.5">
      <c r="A127" s="99" t="s">
        <v>422</v>
      </c>
      <c r="B127" s="99" t="s">
        <v>423</v>
      </c>
      <c r="C127" s="99" t="s">
        <v>424</v>
      </c>
      <c r="D127" s="100" t="s">
        <v>190</v>
      </c>
      <c r="E127" s="21">
        <v>29.9</v>
      </c>
      <c r="F127" s="6">
        <v>520</v>
      </c>
      <c r="G127" s="6">
        <v>520</v>
      </c>
      <c r="H127" s="17">
        <f t="shared" si="5"/>
        <v>0</v>
      </c>
      <c r="I127" s="17">
        <f t="shared" si="6"/>
        <v>0</v>
      </c>
      <c r="J127" s="17">
        <f t="shared" si="7"/>
        <v>0</v>
      </c>
      <c r="K127" s="17">
        <f t="shared" si="8"/>
        <v>0</v>
      </c>
      <c r="L127" s="18">
        <f t="shared" si="9"/>
        <v>15548</v>
      </c>
      <c r="M127" s="30" t="s">
        <v>24</v>
      </c>
    </row>
    <row r="128" spans="1:13" ht="47.25">
      <c r="A128" s="102" t="s">
        <v>425</v>
      </c>
      <c r="B128" s="102" t="s">
        <v>426</v>
      </c>
      <c r="C128" s="103" t="s">
        <v>427</v>
      </c>
      <c r="D128" s="102" t="s">
        <v>38</v>
      </c>
      <c r="E128" s="21">
        <v>563.05999999999995</v>
      </c>
      <c r="F128" s="6">
        <v>50</v>
      </c>
      <c r="G128" s="6">
        <v>50</v>
      </c>
      <c r="H128" s="17">
        <f t="shared" si="5"/>
        <v>0</v>
      </c>
      <c r="I128" s="17">
        <f t="shared" si="6"/>
        <v>0</v>
      </c>
      <c r="J128" s="17">
        <f t="shared" si="7"/>
        <v>0</v>
      </c>
      <c r="K128" s="17">
        <f t="shared" si="8"/>
        <v>0</v>
      </c>
      <c r="L128" s="18">
        <f t="shared" si="9"/>
        <v>28153</v>
      </c>
      <c r="M128" s="30" t="s">
        <v>166</v>
      </c>
    </row>
    <row r="129" spans="1:13" ht="31.5">
      <c r="A129" s="102" t="s">
        <v>428</v>
      </c>
      <c r="B129" s="103" t="s">
        <v>429</v>
      </c>
      <c r="C129" s="102" t="s">
        <v>430</v>
      </c>
      <c r="D129" s="102" t="s">
        <v>118</v>
      </c>
      <c r="E129" s="21">
        <v>2.67</v>
      </c>
      <c r="F129" s="6">
        <v>2716</v>
      </c>
      <c r="G129" s="6">
        <v>2716</v>
      </c>
      <c r="H129" s="17">
        <f t="shared" si="5"/>
        <v>0</v>
      </c>
      <c r="I129" s="17">
        <f t="shared" si="6"/>
        <v>0</v>
      </c>
      <c r="J129" s="17">
        <f t="shared" si="7"/>
        <v>0</v>
      </c>
      <c r="K129" s="17">
        <f t="shared" si="8"/>
        <v>0</v>
      </c>
      <c r="L129" s="18">
        <f t="shared" si="9"/>
        <v>7251.72</v>
      </c>
      <c r="M129" s="30" t="s">
        <v>24</v>
      </c>
    </row>
    <row r="130" spans="1:13" ht="31.5">
      <c r="A130" s="102" t="s">
        <v>431</v>
      </c>
      <c r="B130" s="102" t="s">
        <v>429</v>
      </c>
      <c r="C130" s="102" t="s">
        <v>432</v>
      </c>
      <c r="D130" s="112" t="s">
        <v>433</v>
      </c>
      <c r="E130" s="21">
        <v>3.1</v>
      </c>
      <c r="F130" s="6">
        <v>300</v>
      </c>
      <c r="G130" s="6">
        <v>300</v>
      </c>
      <c r="H130" s="17">
        <f t="shared" si="5"/>
        <v>0</v>
      </c>
      <c r="I130" s="17">
        <f t="shared" si="6"/>
        <v>0</v>
      </c>
      <c r="J130" s="17">
        <f t="shared" si="7"/>
        <v>0</v>
      </c>
      <c r="K130" s="17">
        <f t="shared" si="8"/>
        <v>0</v>
      </c>
      <c r="L130" s="18">
        <f t="shared" si="9"/>
        <v>930</v>
      </c>
      <c r="M130" s="30" t="s">
        <v>24</v>
      </c>
    </row>
    <row r="131" spans="1:13" ht="31.5">
      <c r="A131" s="99" t="s">
        <v>434</v>
      </c>
      <c r="B131" s="100" t="s">
        <v>419</v>
      </c>
      <c r="C131" s="100" t="s">
        <v>435</v>
      </c>
      <c r="D131" s="99" t="s">
        <v>118</v>
      </c>
      <c r="E131" s="21">
        <v>10.029999999999999</v>
      </c>
      <c r="F131" s="6">
        <v>3300</v>
      </c>
      <c r="G131" s="6">
        <v>3300</v>
      </c>
      <c r="H131" s="17">
        <f t="shared" si="5"/>
        <v>0</v>
      </c>
      <c r="I131" s="17">
        <f t="shared" si="6"/>
        <v>0</v>
      </c>
      <c r="J131" s="17">
        <f t="shared" si="7"/>
        <v>0</v>
      </c>
      <c r="K131" s="17">
        <f t="shared" si="8"/>
        <v>0</v>
      </c>
      <c r="L131" s="18">
        <f t="shared" si="9"/>
        <v>33099</v>
      </c>
      <c r="M131" s="30" t="s">
        <v>48</v>
      </c>
    </row>
    <row r="132" spans="1:13" ht="31.5">
      <c r="A132" s="57" t="s">
        <v>436</v>
      </c>
      <c r="B132" s="57" t="s">
        <v>437</v>
      </c>
      <c r="C132" s="57" t="s">
        <v>438</v>
      </c>
      <c r="D132" s="57" t="s">
        <v>118</v>
      </c>
      <c r="E132" s="21">
        <v>17.829999999999998</v>
      </c>
      <c r="F132" s="6">
        <v>1470</v>
      </c>
      <c r="G132" s="6">
        <v>1470</v>
      </c>
      <c r="H132" s="17">
        <f t="shared" si="5"/>
        <v>0</v>
      </c>
      <c r="I132" s="17">
        <f t="shared" si="6"/>
        <v>0</v>
      </c>
      <c r="J132" s="17">
        <f t="shared" si="7"/>
        <v>0</v>
      </c>
      <c r="K132" s="17">
        <f t="shared" si="8"/>
        <v>0</v>
      </c>
      <c r="L132" s="18">
        <f t="shared" si="9"/>
        <v>26210.1</v>
      </c>
      <c r="M132" s="30" t="s">
        <v>29</v>
      </c>
    </row>
    <row r="133" spans="1:13" ht="31.5">
      <c r="A133" s="99" t="s">
        <v>439</v>
      </c>
      <c r="B133" s="99" t="s">
        <v>440</v>
      </c>
      <c r="C133" s="99" t="s">
        <v>76</v>
      </c>
      <c r="D133" s="99" t="s">
        <v>118</v>
      </c>
      <c r="E133" s="21">
        <v>12.83</v>
      </c>
      <c r="F133" s="6">
        <v>300</v>
      </c>
      <c r="G133" s="6">
        <v>300</v>
      </c>
      <c r="H133" s="17">
        <f t="shared" si="5"/>
        <v>0</v>
      </c>
      <c r="I133" s="17">
        <f t="shared" si="6"/>
        <v>0</v>
      </c>
      <c r="J133" s="17">
        <f t="shared" si="7"/>
        <v>0</v>
      </c>
      <c r="K133" s="17">
        <f t="shared" si="8"/>
        <v>0</v>
      </c>
      <c r="L133" s="18">
        <f t="shared" si="9"/>
        <v>3849</v>
      </c>
      <c r="M133" s="30" t="s">
        <v>358</v>
      </c>
    </row>
    <row r="134" spans="1:13" ht="31.5">
      <c r="A134" s="99" t="s">
        <v>441</v>
      </c>
      <c r="B134" s="99" t="s">
        <v>442</v>
      </c>
      <c r="C134" s="99" t="s">
        <v>443</v>
      </c>
      <c r="D134" s="99" t="s">
        <v>118</v>
      </c>
      <c r="E134" s="21">
        <v>12.57</v>
      </c>
      <c r="F134" s="6">
        <v>9150</v>
      </c>
      <c r="G134" s="6">
        <v>9150</v>
      </c>
      <c r="H134" s="17">
        <f t="shared" si="5"/>
        <v>0</v>
      </c>
      <c r="I134" s="17">
        <f t="shared" si="6"/>
        <v>0</v>
      </c>
      <c r="J134" s="17">
        <f t="shared" si="7"/>
        <v>0</v>
      </c>
      <c r="K134" s="17">
        <f t="shared" si="8"/>
        <v>0</v>
      </c>
      <c r="L134" s="18">
        <f t="shared" si="9"/>
        <v>115015.5</v>
      </c>
      <c r="M134" s="30" t="s">
        <v>188</v>
      </c>
    </row>
    <row r="135" spans="1:13" ht="31.5">
      <c r="A135" s="99" t="s">
        <v>444</v>
      </c>
      <c r="B135" s="99" t="s">
        <v>442</v>
      </c>
      <c r="C135" s="99" t="s">
        <v>445</v>
      </c>
      <c r="D135" s="99" t="s">
        <v>118</v>
      </c>
      <c r="E135" s="21">
        <v>12.57</v>
      </c>
      <c r="F135" s="6">
        <v>2910</v>
      </c>
      <c r="G135" s="6">
        <v>2910</v>
      </c>
      <c r="H135" s="17">
        <f t="shared" si="5"/>
        <v>0</v>
      </c>
      <c r="I135" s="17">
        <f t="shared" si="6"/>
        <v>0</v>
      </c>
      <c r="J135" s="17">
        <f t="shared" si="7"/>
        <v>0</v>
      </c>
      <c r="K135" s="17">
        <f t="shared" si="8"/>
        <v>0</v>
      </c>
      <c r="L135" s="18">
        <f t="shared" si="9"/>
        <v>36578.699999999997</v>
      </c>
      <c r="M135" s="30" t="s">
        <v>34</v>
      </c>
    </row>
    <row r="136" spans="1:13" s="8" customFormat="1" ht="31.5">
      <c r="A136" s="67" t="s">
        <v>446</v>
      </c>
      <c r="B136" s="67" t="s">
        <v>447</v>
      </c>
      <c r="C136" s="67" t="s">
        <v>448</v>
      </c>
      <c r="D136" s="67" t="s">
        <v>118</v>
      </c>
      <c r="E136" s="9">
        <v>21.67</v>
      </c>
      <c r="F136" s="7">
        <v>0</v>
      </c>
      <c r="G136" s="7">
        <v>0</v>
      </c>
      <c r="H136" s="13">
        <f t="shared" ref="H136:H204" si="10">F136-G136</f>
        <v>0</v>
      </c>
      <c r="I136" s="13">
        <f t="shared" ref="I136:I204" si="11">E136*H136</f>
        <v>0</v>
      </c>
      <c r="J136" s="13">
        <f t="shared" ref="J136:J204" si="12">G136-F136</f>
        <v>0</v>
      </c>
      <c r="K136" s="13">
        <f t="shared" ref="K136:K204" si="13">E136*J136</f>
        <v>0</v>
      </c>
      <c r="L136" s="14">
        <f t="shared" ref="L136:L204" si="14">E136*G136</f>
        <v>0</v>
      </c>
      <c r="M136" s="16" t="s">
        <v>197</v>
      </c>
    </row>
    <row r="137" spans="1:13">
      <c r="A137" s="99" t="s">
        <v>449</v>
      </c>
      <c r="B137" s="99" t="s">
        <v>450</v>
      </c>
      <c r="C137" s="99" t="s">
        <v>451</v>
      </c>
      <c r="D137" s="99" t="s">
        <v>452</v>
      </c>
      <c r="E137" s="21">
        <v>45.1</v>
      </c>
      <c r="F137" s="6">
        <v>70</v>
      </c>
      <c r="G137" s="6">
        <v>70</v>
      </c>
      <c r="H137" s="17">
        <f t="shared" si="10"/>
        <v>0</v>
      </c>
      <c r="I137" s="17">
        <f t="shared" si="11"/>
        <v>0</v>
      </c>
      <c r="J137" s="17">
        <f t="shared" si="12"/>
        <v>0</v>
      </c>
      <c r="K137" s="17">
        <f t="shared" si="13"/>
        <v>0</v>
      </c>
      <c r="L137" s="18">
        <f t="shared" si="14"/>
        <v>3157</v>
      </c>
      <c r="M137" s="30" t="s">
        <v>139</v>
      </c>
    </row>
    <row r="138" spans="1:13">
      <c r="A138" s="99" t="s">
        <v>453</v>
      </c>
      <c r="B138" s="99" t="s">
        <v>454</v>
      </c>
      <c r="C138" s="99" t="s">
        <v>455</v>
      </c>
      <c r="D138" s="99" t="s">
        <v>456</v>
      </c>
      <c r="E138" s="21">
        <v>50</v>
      </c>
      <c r="F138" s="6">
        <v>164</v>
      </c>
      <c r="G138" s="6">
        <v>164</v>
      </c>
      <c r="H138" s="17">
        <f t="shared" si="10"/>
        <v>0</v>
      </c>
      <c r="I138" s="17">
        <f t="shared" si="11"/>
        <v>0</v>
      </c>
      <c r="J138" s="17">
        <f t="shared" si="12"/>
        <v>0</v>
      </c>
      <c r="K138" s="17">
        <f t="shared" si="13"/>
        <v>0</v>
      </c>
      <c r="L138" s="18">
        <f t="shared" si="14"/>
        <v>8200</v>
      </c>
      <c r="M138" s="30" t="s">
        <v>130</v>
      </c>
    </row>
    <row r="139" spans="1:13">
      <c r="A139" s="99" t="s">
        <v>457</v>
      </c>
      <c r="B139" s="100" t="s">
        <v>245</v>
      </c>
      <c r="C139" s="99" t="s">
        <v>458</v>
      </c>
      <c r="D139" s="99" t="s">
        <v>459</v>
      </c>
      <c r="E139" s="21">
        <v>378</v>
      </c>
      <c r="F139" s="6">
        <v>100</v>
      </c>
      <c r="G139" s="6">
        <v>100</v>
      </c>
      <c r="H139" s="17">
        <f t="shared" si="10"/>
        <v>0</v>
      </c>
      <c r="I139" s="17">
        <f t="shared" si="11"/>
        <v>0</v>
      </c>
      <c r="J139" s="17">
        <f t="shared" si="12"/>
        <v>0</v>
      </c>
      <c r="K139" s="17">
        <f t="shared" si="13"/>
        <v>0</v>
      </c>
      <c r="L139" s="18">
        <f t="shared" si="14"/>
        <v>37800</v>
      </c>
      <c r="M139" s="30" t="s">
        <v>143</v>
      </c>
    </row>
    <row r="140" spans="1:13">
      <c r="A140" s="99" t="s">
        <v>460</v>
      </c>
      <c r="B140" s="99" t="s">
        <v>461</v>
      </c>
      <c r="C140" s="99" t="s">
        <v>462</v>
      </c>
      <c r="D140" s="99" t="s">
        <v>463</v>
      </c>
      <c r="E140" s="21">
        <v>90</v>
      </c>
      <c r="F140" s="6">
        <v>5</v>
      </c>
      <c r="G140" s="6">
        <v>5</v>
      </c>
      <c r="H140" s="17">
        <f t="shared" si="10"/>
        <v>0</v>
      </c>
      <c r="I140" s="17">
        <f t="shared" si="11"/>
        <v>0</v>
      </c>
      <c r="J140" s="17">
        <f t="shared" si="12"/>
        <v>0</v>
      </c>
      <c r="K140" s="17">
        <f t="shared" si="13"/>
        <v>0</v>
      </c>
      <c r="L140" s="18">
        <f t="shared" si="14"/>
        <v>450</v>
      </c>
      <c r="M140" s="30" t="s">
        <v>48</v>
      </c>
    </row>
    <row r="141" spans="1:13" ht="47.25">
      <c r="A141" s="99" t="s">
        <v>464</v>
      </c>
      <c r="B141" s="99" t="s">
        <v>465</v>
      </c>
      <c r="C141" s="99" t="s">
        <v>466</v>
      </c>
      <c r="D141" s="99" t="s">
        <v>467</v>
      </c>
      <c r="E141" s="21">
        <v>160</v>
      </c>
      <c r="F141" s="6">
        <v>100</v>
      </c>
      <c r="G141" s="6">
        <v>100</v>
      </c>
      <c r="H141" s="17">
        <f t="shared" si="10"/>
        <v>0</v>
      </c>
      <c r="I141" s="17">
        <f t="shared" si="11"/>
        <v>0</v>
      </c>
      <c r="J141" s="17">
        <f t="shared" si="12"/>
        <v>0</v>
      </c>
      <c r="K141" s="17">
        <f t="shared" si="13"/>
        <v>0</v>
      </c>
      <c r="L141" s="18">
        <f t="shared" si="14"/>
        <v>16000</v>
      </c>
      <c r="M141" s="30" t="s">
        <v>48</v>
      </c>
    </row>
    <row r="142" spans="1:13" ht="31.5">
      <c r="A142" s="99" t="s">
        <v>468</v>
      </c>
      <c r="B142" s="99" t="s">
        <v>469</v>
      </c>
      <c r="C142" s="99" t="s">
        <v>470</v>
      </c>
      <c r="D142" s="99" t="s">
        <v>471</v>
      </c>
      <c r="E142" s="21">
        <v>263</v>
      </c>
      <c r="F142" s="6">
        <v>105</v>
      </c>
      <c r="G142" s="6">
        <v>105</v>
      </c>
      <c r="H142" s="17">
        <f t="shared" si="10"/>
        <v>0</v>
      </c>
      <c r="I142" s="17">
        <f t="shared" si="11"/>
        <v>0</v>
      </c>
      <c r="J142" s="17">
        <f t="shared" si="12"/>
        <v>0</v>
      </c>
      <c r="K142" s="17">
        <f t="shared" si="13"/>
        <v>0</v>
      </c>
      <c r="L142" s="18">
        <f t="shared" si="14"/>
        <v>27615</v>
      </c>
      <c r="M142" s="30" t="s">
        <v>48</v>
      </c>
    </row>
    <row r="143" spans="1:13" ht="31.5">
      <c r="A143" s="99" t="s">
        <v>472</v>
      </c>
      <c r="B143" s="100" t="s">
        <v>473</v>
      </c>
      <c r="C143" s="99" t="s">
        <v>474</v>
      </c>
      <c r="D143" s="99" t="s">
        <v>84</v>
      </c>
      <c r="E143" s="21">
        <v>279.89</v>
      </c>
      <c r="F143" s="6">
        <v>340</v>
      </c>
      <c r="G143" s="6">
        <v>340</v>
      </c>
      <c r="H143" s="17">
        <f t="shared" si="10"/>
        <v>0</v>
      </c>
      <c r="I143" s="17">
        <f t="shared" si="11"/>
        <v>0</v>
      </c>
      <c r="J143" s="17">
        <f t="shared" si="12"/>
        <v>0</v>
      </c>
      <c r="K143" s="17">
        <f t="shared" si="13"/>
        <v>0</v>
      </c>
      <c r="L143" s="18">
        <f t="shared" si="14"/>
        <v>95162.6</v>
      </c>
      <c r="M143" s="30" t="s">
        <v>24</v>
      </c>
    </row>
    <row r="144" spans="1:13">
      <c r="A144" s="99" t="s">
        <v>475</v>
      </c>
      <c r="B144" s="99" t="s">
        <v>476</v>
      </c>
      <c r="C144" s="99" t="s">
        <v>232</v>
      </c>
      <c r="D144" s="99" t="s">
        <v>477</v>
      </c>
      <c r="E144" s="21">
        <v>15</v>
      </c>
      <c r="F144" s="6">
        <v>700</v>
      </c>
      <c r="G144" s="6">
        <v>700</v>
      </c>
      <c r="H144" s="17">
        <f t="shared" si="10"/>
        <v>0</v>
      </c>
      <c r="I144" s="17">
        <f t="shared" si="11"/>
        <v>0</v>
      </c>
      <c r="J144" s="17">
        <f t="shared" si="12"/>
        <v>0</v>
      </c>
      <c r="K144" s="17">
        <f t="shared" si="13"/>
        <v>0</v>
      </c>
      <c r="L144" s="18">
        <f t="shared" si="14"/>
        <v>10500</v>
      </c>
      <c r="M144" s="30" t="s">
        <v>159</v>
      </c>
    </row>
    <row r="145" spans="1:13" ht="47.25">
      <c r="A145" s="102" t="s">
        <v>478</v>
      </c>
      <c r="B145" s="102" t="s">
        <v>479</v>
      </c>
      <c r="C145" s="102" t="s">
        <v>480</v>
      </c>
      <c r="D145" s="103" t="s">
        <v>152</v>
      </c>
      <c r="E145" s="21">
        <v>67.400000000000006</v>
      </c>
      <c r="F145" s="6">
        <v>280</v>
      </c>
      <c r="G145" s="6">
        <v>280</v>
      </c>
      <c r="H145" s="17">
        <f t="shared" si="10"/>
        <v>0</v>
      </c>
      <c r="I145" s="17">
        <f t="shared" si="11"/>
        <v>0</v>
      </c>
      <c r="J145" s="17">
        <f t="shared" si="12"/>
        <v>0</v>
      </c>
      <c r="K145" s="17">
        <f t="shared" si="13"/>
        <v>0</v>
      </c>
      <c r="L145" s="18">
        <f t="shared" si="14"/>
        <v>18872</v>
      </c>
      <c r="M145" s="30" t="s">
        <v>24</v>
      </c>
    </row>
    <row r="146" spans="1:13" ht="31.5">
      <c r="A146" s="99" t="s">
        <v>481</v>
      </c>
      <c r="B146" s="100" t="s">
        <v>482</v>
      </c>
      <c r="C146" s="99" t="s">
        <v>483</v>
      </c>
      <c r="D146" s="100" t="s">
        <v>484</v>
      </c>
      <c r="E146" s="21">
        <v>154</v>
      </c>
      <c r="F146" s="6">
        <v>50</v>
      </c>
      <c r="G146" s="6">
        <v>50</v>
      </c>
      <c r="H146" s="17">
        <f t="shared" si="10"/>
        <v>0</v>
      </c>
      <c r="I146" s="17">
        <f t="shared" si="11"/>
        <v>0</v>
      </c>
      <c r="J146" s="17">
        <f t="shared" si="12"/>
        <v>0</v>
      </c>
      <c r="K146" s="17">
        <f t="shared" si="13"/>
        <v>0</v>
      </c>
      <c r="L146" s="18">
        <f t="shared" si="14"/>
        <v>7700</v>
      </c>
      <c r="M146" s="30" t="s">
        <v>312</v>
      </c>
    </row>
    <row r="147" spans="1:13" s="96" customFormat="1" ht="31.5">
      <c r="A147" s="102" t="s">
        <v>485</v>
      </c>
      <c r="B147" s="103" t="s">
        <v>482</v>
      </c>
      <c r="C147" s="102" t="s">
        <v>486</v>
      </c>
      <c r="D147" s="102" t="s">
        <v>487</v>
      </c>
      <c r="E147" s="21">
        <v>85.99</v>
      </c>
      <c r="F147" s="6">
        <v>870</v>
      </c>
      <c r="G147" s="6">
        <v>870</v>
      </c>
      <c r="H147" s="17">
        <f t="shared" si="10"/>
        <v>0</v>
      </c>
      <c r="I147" s="17">
        <f t="shared" si="11"/>
        <v>0</v>
      </c>
      <c r="J147" s="17">
        <f t="shared" si="12"/>
        <v>0</v>
      </c>
      <c r="K147" s="17">
        <f t="shared" si="13"/>
        <v>0</v>
      </c>
      <c r="L147" s="18">
        <f t="shared" si="14"/>
        <v>74811.3</v>
      </c>
      <c r="M147" s="30" t="s">
        <v>24</v>
      </c>
    </row>
    <row r="148" spans="1:13" ht="31.5">
      <c r="A148" s="99" t="s">
        <v>488</v>
      </c>
      <c r="B148" s="100" t="s">
        <v>489</v>
      </c>
      <c r="C148" s="99" t="s">
        <v>448</v>
      </c>
      <c r="D148" s="99" t="s">
        <v>118</v>
      </c>
      <c r="E148" s="21">
        <v>0.99</v>
      </c>
      <c r="F148" s="6">
        <v>900</v>
      </c>
      <c r="G148" s="6">
        <v>900</v>
      </c>
      <c r="H148" s="17">
        <f t="shared" si="10"/>
        <v>0</v>
      </c>
      <c r="I148" s="17">
        <f t="shared" si="11"/>
        <v>0</v>
      </c>
      <c r="J148" s="17">
        <f t="shared" si="12"/>
        <v>0</v>
      </c>
      <c r="K148" s="17">
        <f t="shared" si="13"/>
        <v>0</v>
      </c>
      <c r="L148" s="18">
        <f t="shared" si="14"/>
        <v>891</v>
      </c>
      <c r="M148" s="30" t="s">
        <v>19</v>
      </c>
    </row>
    <row r="149" spans="1:13">
      <c r="A149" s="99" t="s">
        <v>490</v>
      </c>
      <c r="B149" s="100" t="s">
        <v>491</v>
      </c>
      <c r="C149" s="100" t="s">
        <v>492</v>
      </c>
      <c r="D149" s="99" t="s">
        <v>493</v>
      </c>
      <c r="E149" s="21">
        <v>25.27</v>
      </c>
      <c r="F149" s="6">
        <v>115</v>
      </c>
      <c r="G149" s="6">
        <v>115</v>
      </c>
      <c r="H149" s="17">
        <f t="shared" si="10"/>
        <v>0</v>
      </c>
      <c r="I149" s="17">
        <f t="shared" si="11"/>
        <v>0</v>
      </c>
      <c r="J149" s="17">
        <f t="shared" si="12"/>
        <v>0</v>
      </c>
      <c r="K149" s="17">
        <f t="shared" si="13"/>
        <v>0</v>
      </c>
      <c r="L149" s="18">
        <f t="shared" si="14"/>
        <v>2906.05</v>
      </c>
      <c r="M149" s="30" t="s">
        <v>494</v>
      </c>
    </row>
    <row r="150" spans="1:13" ht="31.5">
      <c r="A150" s="99" t="s">
        <v>495</v>
      </c>
      <c r="B150" s="99" t="s">
        <v>496</v>
      </c>
      <c r="C150" s="99" t="s">
        <v>497</v>
      </c>
      <c r="D150" s="99" t="s">
        <v>484</v>
      </c>
      <c r="E150" s="21">
        <v>754</v>
      </c>
      <c r="F150" s="6">
        <v>27</v>
      </c>
      <c r="G150" s="6">
        <v>27</v>
      </c>
      <c r="H150" s="17">
        <f t="shared" si="10"/>
        <v>0</v>
      </c>
      <c r="I150" s="17">
        <f t="shared" si="11"/>
        <v>0</v>
      </c>
      <c r="J150" s="17">
        <f t="shared" si="12"/>
        <v>0</v>
      </c>
      <c r="K150" s="17">
        <f t="shared" si="13"/>
        <v>0</v>
      </c>
      <c r="L150" s="18">
        <f t="shared" si="14"/>
        <v>20358</v>
      </c>
      <c r="M150" s="30"/>
    </row>
    <row r="151" spans="1:13" ht="31.5">
      <c r="A151" s="99" t="s">
        <v>498</v>
      </c>
      <c r="B151" s="99" t="s">
        <v>499</v>
      </c>
      <c r="C151" s="99" t="s">
        <v>500</v>
      </c>
      <c r="D151" s="99" t="s">
        <v>501</v>
      </c>
      <c r="E151" s="21">
        <v>1685</v>
      </c>
      <c r="F151" s="6">
        <v>45</v>
      </c>
      <c r="G151" s="6">
        <v>45</v>
      </c>
      <c r="H151" s="17">
        <f t="shared" si="10"/>
        <v>0</v>
      </c>
      <c r="I151" s="17">
        <f t="shared" si="11"/>
        <v>0</v>
      </c>
      <c r="J151" s="17">
        <f t="shared" si="12"/>
        <v>0</v>
      </c>
      <c r="K151" s="17">
        <f t="shared" si="13"/>
        <v>0</v>
      </c>
      <c r="L151" s="18">
        <f t="shared" si="14"/>
        <v>75825</v>
      </c>
      <c r="M151" s="30" t="s">
        <v>502</v>
      </c>
    </row>
    <row r="152" spans="1:13" s="42" customFormat="1">
      <c r="A152" s="69" t="s">
        <v>503</v>
      </c>
      <c r="B152" s="69" t="s">
        <v>504</v>
      </c>
      <c r="C152" s="69" t="s">
        <v>27</v>
      </c>
      <c r="D152" s="69" t="s">
        <v>152</v>
      </c>
      <c r="E152" s="91">
        <v>1015.3</v>
      </c>
      <c r="F152" s="65">
        <v>110</v>
      </c>
      <c r="G152" s="65">
        <v>110</v>
      </c>
      <c r="H152" s="66">
        <f t="shared" si="10"/>
        <v>0</v>
      </c>
      <c r="I152" s="66">
        <f t="shared" si="11"/>
        <v>0</v>
      </c>
      <c r="J152" s="66">
        <f t="shared" si="12"/>
        <v>0</v>
      </c>
      <c r="K152" s="66">
        <f t="shared" si="13"/>
        <v>0</v>
      </c>
      <c r="L152" s="83">
        <f t="shared" si="14"/>
        <v>111683</v>
      </c>
      <c r="M152" s="84" t="s">
        <v>19</v>
      </c>
    </row>
    <row r="153" spans="1:13" ht="31.5">
      <c r="A153" s="99" t="s">
        <v>505</v>
      </c>
      <c r="B153" s="99" t="s">
        <v>506</v>
      </c>
      <c r="C153" s="99" t="s">
        <v>146</v>
      </c>
      <c r="D153" s="99" t="s">
        <v>185</v>
      </c>
      <c r="E153" s="21">
        <v>3.2</v>
      </c>
      <c r="F153" s="6">
        <v>4600</v>
      </c>
      <c r="G153" s="6">
        <v>4600</v>
      </c>
      <c r="H153" s="17">
        <f t="shared" si="10"/>
        <v>0</v>
      </c>
      <c r="I153" s="17">
        <f t="shared" si="11"/>
        <v>0</v>
      </c>
      <c r="J153" s="17">
        <f t="shared" si="12"/>
        <v>0</v>
      </c>
      <c r="K153" s="17">
        <f t="shared" si="13"/>
        <v>0</v>
      </c>
      <c r="L153" s="18">
        <f t="shared" si="14"/>
        <v>14720</v>
      </c>
      <c r="M153" s="30" t="s">
        <v>124</v>
      </c>
    </row>
    <row r="154" spans="1:13">
      <c r="A154" s="102" t="s">
        <v>507</v>
      </c>
      <c r="B154" s="103" t="s">
        <v>508</v>
      </c>
      <c r="C154" s="102" t="s">
        <v>509</v>
      </c>
      <c r="D154" s="102" t="s">
        <v>185</v>
      </c>
      <c r="E154" s="21">
        <v>4</v>
      </c>
      <c r="F154" s="6">
        <v>4710</v>
      </c>
      <c r="G154" s="6">
        <v>4710</v>
      </c>
      <c r="H154" s="17">
        <f t="shared" si="10"/>
        <v>0</v>
      </c>
      <c r="I154" s="17">
        <f t="shared" si="11"/>
        <v>0</v>
      </c>
      <c r="J154" s="17">
        <f t="shared" si="12"/>
        <v>0</v>
      </c>
      <c r="K154" s="17">
        <f t="shared" si="13"/>
        <v>0</v>
      </c>
      <c r="L154" s="18">
        <f t="shared" si="14"/>
        <v>18840</v>
      </c>
      <c r="M154" s="30" t="s">
        <v>510</v>
      </c>
    </row>
    <row r="155" spans="1:13" ht="31.5">
      <c r="A155" s="99" t="s">
        <v>511</v>
      </c>
      <c r="B155" s="99" t="s">
        <v>512</v>
      </c>
      <c r="C155" s="99" t="s">
        <v>513</v>
      </c>
      <c r="D155" s="99" t="s">
        <v>514</v>
      </c>
      <c r="E155" s="21">
        <v>28030</v>
      </c>
      <c r="F155" s="6">
        <v>5</v>
      </c>
      <c r="G155" s="6">
        <v>5</v>
      </c>
      <c r="H155" s="17">
        <f t="shared" si="10"/>
        <v>0</v>
      </c>
      <c r="I155" s="17">
        <f t="shared" si="11"/>
        <v>0</v>
      </c>
      <c r="J155" s="17">
        <f t="shared" si="12"/>
        <v>0</v>
      </c>
      <c r="K155" s="17">
        <f t="shared" si="13"/>
        <v>0</v>
      </c>
      <c r="L155" s="18">
        <f t="shared" si="14"/>
        <v>140150</v>
      </c>
      <c r="M155" s="30" t="s">
        <v>336</v>
      </c>
    </row>
    <row r="156" spans="1:13" ht="31.5">
      <c r="A156" s="99" t="s">
        <v>515</v>
      </c>
      <c r="B156" s="100" t="s">
        <v>516</v>
      </c>
      <c r="C156" s="99" t="s">
        <v>517</v>
      </c>
      <c r="D156" s="99" t="s">
        <v>518</v>
      </c>
      <c r="E156" s="21">
        <v>140</v>
      </c>
      <c r="F156" s="6">
        <v>185</v>
      </c>
      <c r="G156" s="6">
        <v>185</v>
      </c>
      <c r="H156" s="17">
        <f t="shared" si="10"/>
        <v>0</v>
      </c>
      <c r="I156" s="17">
        <f t="shared" si="11"/>
        <v>0</v>
      </c>
      <c r="J156" s="17">
        <f t="shared" si="12"/>
        <v>0</v>
      </c>
      <c r="K156" s="17">
        <f t="shared" si="13"/>
        <v>0</v>
      </c>
      <c r="L156" s="18">
        <f t="shared" si="14"/>
        <v>25900</v>
      </c>
      <c r="M156" s="30" t="s">
        <v>139</v>
      </c>
    </row>
    <row r="157" spans="1:13" s="42" customFormat="1" ht="47.25">
      <c r="A157" s="62" t="s">
        <v>519</v>
      </c>
      <c r="B157" s="62" t="s">
        <v>520</v>
      </c>
      <c r="C157" s="62" t="s">
        <v>521</v>
      </c>
      <c r="D157" s="62" t="s">
        <v>522</v>
      </c>
      <c r="E157" s="91">
        <v>79</v>
      </c>
      <c r="F157" s="65">
        <v>3200</v>
      </c>
      <c r="G157" s="65">
        <v>3200</v>
      </c>
      <c r="H157" s="66">
        <f t="shared" si="10"/>
        <v>0</v>
      </c>
      <c r="I157" s="66">
        <f t="shared" si="11"/>
        <v>0</v>
      </c>
      <c r="J157" s="66">
        <f t="shared" si="12"/>
        <v>0</v>
      </c>
      <c r="K157" s="66">
        <f t="shared" si="13"/>
        <v>0</v>
      </c>
      <c r="L157" s="83">
        <f t="shared" si="14"/>
        <v>252800</v>
      </c>
      <c r="M157" s="84" t="s">
        <v>358</v>
      </c>
    </row>
    <row r="158" spans="1:13" ht="31.5">
      <c r="A158" s="99" t="s">
        <v>523</v>
      </c>
      <c r="B158" s="100" t="s">
        <v>524</v>
      </c>
      <c r="C158" s="99" t="s">
        <v>525</v>
      </c>
      <c r="D158" s="99" t="s">
        <v>250</v>
      </c>
      <c r="E158" s="21">
        <v>92.69</v>
      </c>
      <c r="F158" s="6">
        <v>570</v>
      </c>
      <c r="G158" s="6">
        <v>570</v>
      </c>
      <c r="H158" s="17">
        <f t="shared" si="10"/>
        <v>0</v>
      </c>
      <c r="I158" s="17">
        <f t="shared" si="11"/>
        <v>0</v>
      </c>
      <c r="J158" s="17">
        <f t="shared" si="12"/>
        <v>0</v>
      </c>
      <c r="K158" s="17">
        <f t="shared" si="13"/>
        <v>0</v>
      </c>
      <c r="L158" s="18">
        <f t="shared" si="14"/>
        <v>52833.3</v>
      </c>
      <c r="M158" s="30" t="s">
        <v>526</v>
      </c>
    </row>
    <row r="159" spans="1:13" ht="78.75">
      <c r="A159" s="99" t="s">
        <v>527</v>
      </c>
      <c r="B159" s="113" t="s">
        <v>528</v>
      </c>
      <c r="C159" s="99" t="s">
        <v>529</v>
      </c>
      <c r="D159" s="99" t="s">
        <v>530</v>
      </c>
      <c r="E159" s="21">
        <v>7</v>
      </c>
      <c r="F159" s="6">
        <v>200</v>
      </c>
      <c r="G159" s="6">
        <v>200</v>
      </c>
      <c r="H159" s="17">
        <f t="shared" si="10"/>
        <v>0</v>
      </c>
      <c r="I159" s="17">
        <f t="shared" si="11"/>
        <v>0</v>
      </c>
      <c r="J159" s="17">
        <f t="shared" si="12"/>
        <v>0</v>
      </c>
      <c r="K159" s="17">
        <f t="shared" si="13"/>
        <v>0</v>
      </c>
      <c r="L159" s="18">
        <f t="shared" si="14"/>
        <v>1400</v>
      </c>
      <c r="M159" s="30" t="s">
        <v>197</v>
      </c>
    </row>
    <row r="160" spans="1:13" s="8" customFormat="1" ht="31.5">
      <c r="A160" s="67" t="s">
        <v>531</v>
      </c>
      <c r="B160" s="67" t="s">
        <v>532</v>
      </c>
      <c r="C160" s="67" t="s">
        <v>533</v>
      </c>
      <c r="D160" s="67" t="s">
        <v>118</v>
      </c>
      <c r="E160" s="9">
        <v>4.74</v>
      </c>
      <c r="F160" s="7">
        <v>5800</v>
      </c>
      <c r="G160" s="7">
        <v>5800</v>
      </c>
      <c r="H160" s="13">
        <f t="shared" si="10"/>
        <v>0</v>
      </c>
      <c r="I160" s="13">
        <f t="shared" si="11"/>
        <v>0</v>
      </c>
      <c r="J160" s="13">
        <f t="shared" si="12"/>
        <v>0</v>
      </c>
      <c r="K160" s="13">
        <f t="shared" si="13"/>
        <v>0</v>
      </c>
      <c r="L160" s="14">
        <f t="shared" si="14"/>
        <v>27492</v>
      </c>
      <c r="M160" s="16" t="s">
        <v>48</v>
      </c>
    </row>
    <row r="161" spans="1:13" s="42" customFormat="1" ht="63">
      <c r="A161" s="62" t="s">
        <v>534</v>
      </c>
      <c r="B161" s="62" t="s">
        <v>535</v>
      </c>
      <c r="C161" s="62" t="s">
        <v>536</v>
      </c>
      <c r="D161" s="62" t="s">
        <v>537</v>
      </c>
      <c r="E161" s="91">
        <v>524</v>
      </c>
      <c r="F161" s="65">
        <v>30</v>
      </c>
      <c r="G161" s="65">
        <v>30</v>
      </c>
      <c r="H161" s="66">
        <f t="shared" si="10"/>
        <v>0</v>
      </c>
      <c r="I161" s="66">
        <f t="shared" si="11"/>
        <v>0</v>
      </c>
      <c r="J161" s="66">
        <f t="shared" si="12"/>
        <v>0</v>
      </c>
      <c r="K161" s="66">
        <f t="shared" si="13"/>
        <v>0</v>
      </c>
      <c r="L161" s="83">
        <f t="shared" si="14"/>
        <v>15720</v>
      </c>
      <c r="M161" s="84" t="s">
        <v>24</v>
      </c>
    </row>
    <row r="162" spans="1:13">
      <c r="A162" s="99"/>
      <c r="B162" s="100" t="s">
        <v>538</v>
      </c>
      <c r="C162" s="99" t="s">
        <v>539</v>
      </c>
      <c r="D162" s="99" t="s">
        <v>185</v>
      </c>
      <c r="E162" s="21">
        <v>0.9</v>
      </c>
      <c r="F162" s="6">
        <v>3200</v>
      </c>
      <c r="G162" s="6">
        <v>3200</v>
      </c>
      <c r="H162" s="17">
        <f t="shared" si="10"/>
        <v>0</v>
      </c>
      <c r="I162" s="17">
        <f t="shared" si="11"/>
        <v>0</v>
      </c>
      <c r="J162" s="17">
        <f t="shared" si="12"/>
        <v>0</v>
      </c>
      <c r="K162" s="17">
        <f t="shared" si="13"/>
        <v>0</v>
      </c>
      <c r="L162" s="18">
        <f t="shared" si="14"/>
        <v>2880</v>
      </c>
      <c r="M162" s="30" t="s">
        <v>540</v>
      </c>
    </row>
    <row r="163" spans="1:13" ht="31.5">
      <c r="A163" s="99" t="s">
        <v>541</v>
      </c>
      <c r="B163" s="100" t="s">
        <v>516</v>
      </c>
      <c r="C163" s="99" t="s">
        <v>542</v>
      </c>
      <c r="D163" s="99" t="s">
        <v>118</v>
      </c>
      <c r="E163" s="21">
        <v>14.67</v>
      </c>
      <c r="F163" s="6">
        <v>1050</v>
      </c>
      <c r="G163" s="6">
        <v>1050</v>
      </c>
      <c r="H163" s="17">
        <f t="shared" si="10"/>
        <v>0</v>
      </c>
      <c r="I163" s="17">
        <f t="shared" si="11"/>
        <v>0</v>
      </c>
      <c r="J163" s="17">
        <f t="shared" si="12"/>
        <v>0</v>
      </c>
      <c r="K163" s="17">
        <f t="shared" si="13"/>
        <v>0</v>
      </c>
      <c r="L163" s="18">
        <f t="shared" si="14"/>
        <v>15403.5</v>
      </c>
      <c r="M163" s="30" t="s">
        <v>289</v>
      </c>
    </row>
    <row r="164" spans="1:13" ht="31.5">
      <c r="A164" s="99" t="s">
        <v>543</v>
      </c>
      <c r="B164" s="99" t="s">
        <v>544</v>
      </c>
      <c r="C164" s="113" t="s">
        <v>545</v>
      </c>
      <c r="D164" s="99" t="s">
        <v>546</v>
      </c>
      <c r="E164" s="21">
        <v>13</v>
      </c>
      <c r="F164" s="6">
        <v>300</v>
      </c>
      <c r="G164" s="6">
        <v>300</v>
      </c>
      <c r="H164" s="17">
        <f t="shared" si="10"/>
        <v>0</v>
      </c>
      <c r="I164" s="17">
        <f t="shared" si="11"/>
        <v>0</v>
      </c>
      <c r="J164" s="17">
        <f t="shared" si="12"/>
        <v>0</v>
      </c>
      <c r="K164" s="17">
        <f t="shared" si="13"/>
        <v>0</v>
      </c>
      <c r="L164" s="18">
        <f t="shared" si="14"/>
        <v>3900</v>
      </c>
      <c r="M164" s="30" t="s">
        <v>139</v>
      </c>
    </row>
    <row r="165" spans="1:13" s="8" customFormat="1" ht="31.5">
      <c r="A165" s="20" t="s">
        <v>547</v>
      </c>
      <c r="B165" s="20" t="s">
        <v>548</v>
      </c>
      <c r="C165" s="20" t="s">
        <v>549</v>
      </c>
      <c r="D165" s="71" t="s">
        <v>550</v>
      </c>
      <c r="E165" s="9">
        <v>2750</v>
      </c>
      <c r="F165" s="7">
        <v>0</v>
      </c>
      <c r="G165" s="7">
        <v>0</v>
      </c>
      <c r="H165" s="13">
        <f t="shared" si="10"/>
        <v>0</v>
      </c>
      <c r="I165" s="13">
        <f t="shared" si="11"/>
        <v>0</v>
      </c>
      <c r="J165" s="13">
        <f t="shared" si="12"/>
        <v>0</v>
      </c>
      <c r="K165" s="13">
        <f t="shared" si="13"/>
        <v>0</v>
      </c>
      <c r="L165" s="14">
        <f t="shared" si="14"/>
        <v>0</v>
      </c>
      <c r="M165" s="16" t="s">
        <v>135</v>
      </c>
    </row>
    <row r="166" spans="1:13">
      <c r="A166" s="102" t="s">
        <v>551</v>
      </c>
      <c r="B166" s="102" t="s">
        <v>552</v>
      </c>
      <c r="C166" s="102" t="s">
        <v>553</v>
      </c>
      <c r="D166" s="103" t="s">
        <v>550</v>
      </c>
      <c r="E166" s="21">
        <v>899</v>
      </c>
      <c r="F166" s="6">
        <v>4</v>
      </c>
      <c r="G166" s="6">
        <v>4</v>
      </c>
      <c r="H166" s="17">
        <f t="shared" si="10"/>
        <v>0</v>
      </c>
      <c r="I166" s="17">
        <f t="shared" si="11"/>
        <v>0</v>
      </c>
      <c r="J166" s="17">
        <f t="shared" si="12"/>
        <v>0</v>
      </c>
      <c r="K166" s="17">
        <f t="shared" si="13"/>
        <v>0</v>
      </c>
      <c r="L166" s="18">
        <f t="shared" si="14"/>
        <v>3596</v>
      </c>
      <c r="M166" s="30" t="s">
        <v>554</v>
      </c>
    </row>
    <row r="167" spans="1:13" ht="31.5">
      <c r="A167" s="99" t="s">
        <v>555</v>
      </c>
      <c r="B167" s="99" t="s">
        <v>556</v>
      </c>
      <c r="C167" s="99" t="s">
        <v>557</v>
      </c>
      <c r="D167" s="99" t="s">
        <v>558</v>
      </c>
      <c r="E167" s="21">
        <v>100</v>
      </c>
      <c r="F167" s="6">
        <v>30</v>
      </c>
      <c r="G167" s="6">
        <v>30</v>
      </c>
      <c r="H167" s="17">
        <f t="shared" si="10"/>
        <v>0</v>
      </c>
      <c r="I167" s="17">
        <f t="shared" si="11"/>
        <v>0</v>
      </c>
      <c r="J167" s="17">
        <f t="shared" si="12"/>
        <v>0</v>
      </c>
      <c r="K167" s="17">
        <f t="shared" si="13"/>
        <v>0</v>
      </c>
      <c r="L167" s="18">
        <f t="shared" si="14"/>
        <v>3000</v>
      </c>
      <c r="M167" s="30" t="s">
        <v>188</v>
      </c>
    </row>
    <row r="168" spans="1:13">
      <c r="A168" s="57" t="s">
        <v>559</v>
      </c>
      <c r="B168" s="57" t="s">
        <v>556</v>
      </c>
      <c r="C168" s="57" t="s">
        <v>560</v>
      </c>
      <c r="D168" s="57" t="s">
        <v>561</v>
      </c>
      <c r="E168" s="21">
        <v>340</v>
      </c>
      <c r="F168" s="6">
        <v>155</v>
      </c>
      <c r="G168" s="6">
        <v>155</v>
      </c>
      <c r="H168" s="17">
        <f t="shared" si="10"/>
        <v>0</v>
      </c>
      <c r="I168" s="17">
        <f t="shared" si="11"/>
        <v>0</v>
      </c>
      <c r="J168" s="17">
        <f t="shared" si="12"/>
        <v>0</v>
      </c>
      <c r="K168" s="17">
        <f t="shared" si="13"/>
        <v>0</v>
      </c>
      <c r="L168" s="18">
        <f t="shared" si="14"/>
        <v>52700</v>
      </c>
      <c r="M168" s="30" t="s">
        <v>52</v>
      </c>
    </row>
    <row r="169" spans="1:13" s="96" customFormat="1" ht="47.25">
      <c r="A169" s="102" t="s">
        <v>562</v>
      </c>
      <c r="B169" s="102" t="s">
        <v>694</v>
      </c>
      <c r="C169" s="102" t="s">
        <v>564</v>
      </c>
      <c r="D169" s="102" t="s">
        <v>487</v>
      </c>
      <c r="E169" s="21">
        <v>4418.5</v>
      </c>
      <c r="F169" s="6">
        <v>8</v>
      </c>
      <c r="G169" s="6">
        <v>8</v>
      </c>
      <c r="H169" s="5">
        <f t="shared" si="10"/>
        <v>0</v>
      </c>
      <c r="I169" s="5">
        <f t="shared" si="11"/>
        <v>0</v>
      </c>
      <c r="J169" s="5">
        <f t="shared" si="12"/>
        <v>0</v>
      </c>
      <c r="K169" s="5">
        <f t="shared" si="13"/>
        <v>0</v>
      </c>
      <c r="L169" s="11">
        <f t="shared" si="14"/>
        <v>35348</v>
      </c>
      <c r="M169" s="12" t="s">
        <v>143</v>
      </c>
    </row>
    <row r="170" spans="1:13" ht="31.5">
      <c r="A170" s="99" t="s">
        <v>565</v>
      </c>
      <c r="B170" s="99" t="s">
        <v>566</v>
      </c>
      <c r="C170" s="99" t="s">
        <v>567</v>
      </c>
      <c r="D170" s="99" t="s">
        <v>23</v>
      </c>
      <c r="E170" s="21">
        <v>63</v>
      </c>
      <c r="F170" s="6">
        <v>250</v>
      </c>
      <c r="G170" s="6">
        <v>250</v>
      </c>
      <c r="H170" s="17">
        <f t="shared" si="10"/>
        <v>0</v>
      </c>
      <c r="I170" s="17">
        <f t="shared" si="11"/>
        <v>0</v>
      </c>
      <c r="J170" s="17">
        <f t="shared" si="12"/>
        <v>0</v>
      </c>
      <c r="K170" s="17">
        <f t="shared" si="13"/>
        <v>0</v>
      </c>
      <c r="L170" s="18">
        <f t="shared" si="14"/>
        <v>15750</v>
      </c>
      <c r="M170" s="30" t="s">
        <v>19</v>
      </c>
    </row>
    <row r="171" spans="1:13">
      <c r="A171" s="99" t="s">
        <v>568</v>
      </c>
      <c r="B171" s="99" t="s">
        <v>569</v>
      </c>
      <c r="C171" s="99" t="s">
        <v>570</v>
      </c>
      <c r="D171" s="99" t="s">
        <v>571</v>
      </c>
      <c r="E171" s="21">
        <v>58</v>
      </c>
      <c r="F171" s="6">
        <v>870</v>
      </c>
      <c r="G171" s="6">
        <v>870</v>
      </c>
      <c r="H171" s="17">
        <f t="shared" si="10"/>
        <v>0</v>
      </c>
      <c r="I171" s="17">
        <f t="shared" si="11"/>
        <v>0</v>
      </c>
      <c r="J171" s="17">
        <f t="shared" si="12"/>
        <v>0</v>
      </c>
      <c r="K171" s="17">
        <f t="shared" si="13"/>
        <v>0</v>
      </c>
      <c r="L171" s="18">
        <f t="shared" si="14"/>
        <v>50460</v>
      </c>
      <c r="M171" s="30" t="s">
        <v>166</v>
      </c>
    </row>
    <row r="172" spans="1:13" ht="47.25">
      <c r="A172" s="99" t="s">
        <v>572</v>
      </c>
      <c r="B172" s="99" t="s">
        <v>569</v>
      </c>
      <c r="C172" s="99" t="s">
        <v>573</v>
      </c>
      <c r="D172" s="99" t="s">
        <v>574</v>
      </c>
      <c r="E172" s="21">
        <v>58</v>
      </c>
      <c r="F172" s="6">
        <v>630</v>
      </c>
      <c r="G172" s="6">
        <v>630</v>
      </c>
      <c r="H172" s="17">
        <f t="shared" si="10"/>
        <v>0</v>
      </c>
      <c r="I172" s="17">
        <f t="shared" si="11"/>
        <v>0</v>
      </c>
      <c r="J172" s="17">
        <f t="shared" si="12"/>
        <v>0</v>
      </c>
      <c r="K172" s="17">
        <f t="shared" si="13"/>
        <v>0</v>
      </c>
      <c r="L172" s="18">
        <f t="shared" si="14"/>
        <v>36540</v>
      </c>
      <c r="M172" s="30" t="s">
        <v>575</v>
      </c>
    </row>
    <row r="173" spans="1:13">
      <c r="A173" s="99" t="s">
        <v>576</v>
      </c>
      <c r="B173" s="100" t="s">
        <v>569</v>
      </c>
      <c r="C173" s="99" t="s">
        <v>577</v>
      </c>
      <c r="D173" s="99" t="s">
        <v>23</v>
      </c>
      <c r="E173" s="21">
        <v>55</v>
      </c>
      <c r="F173" s="6">
        <v>190</v>
      </c>
      <c r="G173" s="6">
        <v>190</v>
      </c>
      <c r="H173" s="17">
        <f t="shared" si="10"/>
        <v>0</v>
      </c>
      <c r="I173" s="17">
        <f t="shared" si="11"/>
        <v>0</v>
      </c>
      <c r="J173" s="17">
        <f t="shared" si="12"/>
        <v>0</v>
      </c>
      <c r="K173" s="17">
        <f t="shared" si="13"/>
        <v>0</v>
      </c>
      <c r="L173" s="18">
        <f t="shared" si="14"/>
        <v>10450</v>
      </c>
      <c r="M173" s="30" t="s">
        <v>578</v>
      </c>
    </row>
    <row r="174" spans="1:13" ht="63">
      <c r="A174" s="102" t="s">
        <v>579</v>
      </c>
      <c r="B174" s="102" t="s">
        <v>580</v>
      </c>
      <c r="C174" s="102" t="s">
        <v>581</v>
      </c>
      <c r="D174" s="102" t="s">
        <v>582</v>
      </c>
      <c r="E174" s="21">
        <v>58</v>
      </c>
      <c r="F174" s="6">
        <v>3930</v>
      </c>
      <c r="G174" s="6">
        <v>3930</v>
      </c>
      <c r="H174" s="17">
        <f t="shared" si="10"/>
        <v>0</v>
      </c>
      <c r="I174" s="17">
        <f t="shared" si="11"/>
        <v>0</v>
      </c>
      <c r="J174" s="17">
        <f t="shared" si="12"/>
        <v>0</v>
      </c>
      <c r="K174" s="17">
        <f t="shared" si="13"/>
        <v>0</v>
      </c>
      <c r="L174" s="18">
        <f t="shared" si="14"/>
        <v>227940</v>
      </c>
      <c r="M174" s="30" t="s">
        <v>583</v>
      </c>
    </row>
    <row r="175" spans="1:13">
      <c r="A175" s="102" t="s">
        <v>584</v>
      </c>
      <c r="B175" s="102" t="s">
        <v>585</v>
      </c>
      <c r="C175" s="102" t="s">
        <v>586</v>
      </c>
      <c r="D175" s="102" t="s">
        <v>561</v>
      </c>
      <c r="E175" s="21">
        <v>53</v>
      </c>
      <c r="F175" s="6">
        <v>990</v>
      </c>
      <c r="G175" s="6">
        <v>990</v>
      </c>
      <c r="H175" s="17">
        <f t="shared" si="10"/>
        <v>0</v>
      </c>
      <c r="I175" s="17">
        <f t="shared" si="11"/>
        <v>0</v>
      </c>
      <c r="J175" s="17">
        <f t="shared" si="12"/>
        <v>0</v>
      </c>
      <c r="K175" s="17">
        <f t="shared" si="13"/>
        <v>0</v>
      </c>
      <c r="L175" s="18">
        <f t="shared" si="14"/>
        <v>52470</v>
      </c>
      <c r="M175" s="30" t="s">
        <v>587</v>
      </c>
    </row>
    <row r="176" spans="1:13" ht="31.5">
      <c r="A176" s="99"/>
      <c r="B176" s="99" t="s">
        <v>585</v>
      </c>
      <c r="C176" s="99" t="s">
        <v>586</v>
      </c>
      <c r="D176" s="99" t="s">
        <v>588</v>
      </c>
      <c r="E176" s="21">
        <v>400</v>
      </c>
      <c r="F176" s="6">
        <v>80</v>
      </c>
      <c r="G176" s="6">
        <v>80</v>
      </c>
      <c r="H176" s="17">
        <f t="shared" si="10"/>
        <v>0</v>
      </c>
      <c r="I176" s="17">
        <f t="shared" si="11"/>
        <v>0</v>
      </c>
      <c r="J176" s="17">
        <f t="shared" si="12"/>
        <v>0</v>
      </c>
      <c r="K176" s="17">
        <f t="shared" si="13"/>
        <v>0</v>
      </c>
      <c r="L176" s="18">
        <f t="shared" si="14"/>
        <v>32000</v>
      </c>
      <c r="M176" s="30" t="s">
        <v>48</v>
      </c>
    </row>
    <row r="177" spans="1:13" ht="31.5">
      <c r="A177" s="99"/>
      <c r="B177" s="99" t="s">
        <v>585</v>
      </c>
      <c r="C177" s="99" t="s">
        <v>586</v>
      </c>
      <c r="D177" s="99" t="s">
        <v>589</v>
      </c>
      <c r="E177" s="21">
        <v>800</v>
      </c>
      <c r="F177" s="6">
        <v>80</v>
      </c>
      <c r="G177" s="6">
        <v>80</v>
      </c>
      <c r="H177" s="17">
        <f t="shared" si="10"/>
        <v>0</v>
      </c>
      <c r="I177" s="17">
        <f t="shared" si="11"/>
        <v>0</v>
      </c>
      <c r="J177" s="17">
        <f t="shared" si="12"/>
        <v>0</v>
      </c>
      <c r="K177" s="17">
        <f t="shared" si="13"/>
        <v>0</v>
      </c>
      <c r="L177" s="18">
        <f t="shared" si="14"/>
        <v>64000</v>
      </c>
      <c r="M177" s="30" t="s">
        <v>78</v>
      </c>
    </row>
    <row r="178" spans="1:13">
      <c r="A178" s="99" t="s">
        <v>590</v>
      </c>
      <c r="B178" s="99" t="s">
        <v>591</v>
      </c>
      <c r="C178" s="99" t="s">
        <v>592</v>
      </c>
      <c r="D178" s="99" t="s">
        <v>185</v>
      </c>
      <c r="E178" s="21">
        <v>19</v>
      </c>
      <c r="F178" s="6">
        <v>600</v>
      </c>
      <c r="G178" s="6">
        <v>600</v>
      </c>
      <c r="H178" s="17">
        <f t="shared" si="10"/>
        <v>0</v>
      </c>
      <c r="I178" s="17">
        <f t="shared" si="11"/>
        <v>0</v>
      </c>
      <c r="J178" s="17">
        <f t="shared" si="12"/>
        <v>0</v>
      </c>
      <c r="K178" s="17">
        <f t="shared" si="13"/>
        <v>0</v>
      </c>
      <c r="L178" s="18">
        <f t="shared" si="14"/>
        <v>11400</v>
      </c>
      <c r="M178" s="30" t="s">
        <v>124</v>
      </c>
    </row>
    <row r="179" spans="1:13">
      <c r="A179" s="99" t="s">
        <v>593</v>
      </c>
      <c r="B179" s="99" t="s">
        <v>585</v>
      </c>
      <c r="C179" s="99" t="s">
        <v>594</v>
      </c>
      <c r="D179" s="99" t="s">
        <v>595</v>
      </c>
      <c r="E179" s="21">
        <v>490</v>
      </c>
      <c r="F179" s="6">
        <v>1150</v>
      </c>
      <c r="G179" s="6">
        <v>1150</v>
      </c>
      <c r="H179" s="17">
        <f t="shared" si="10"/>
        <v>0</v>
      </c>
      <c r="I179" s="17">
        <f t="shared" si="11"/>
        <v>0</v>
      </c>
      <c r="J179" s="17">
        <f t="shared" si="12"/>
        <v>0</v>
      </c>
      <c r="K179" s="17">
        <f t="shared" si="13"/>
        <v>0</v>
      </c>
      <c r="L179" s="18">
        <f t="shared" si="14"/>
        <v>563500</v>
      </c>
      <c r="M179" s="30" t="s">
        <v>596</v>
      </c>
    </row>
    <row r="180" spans="1:13" s="42" customFormat="1">
      <c r="A180" s="69" t="s">
        <v>597</v>
      </c>
      <c r="B180" s="69" t="s">
        <v>598</v>
      </c>
      <c r="C180" s="69" t="s">
        <v>599</v>
      </c>
      <c r="D180" s="69" t="s">
        <v>114</v>
      </c>
      <c r="E180" s="91">
        <v>2900</v>
      </c>
      <c r="F180" s="65">
        <v>1</v>
      </c>
      <c r="G180" s="65">
        <v>1</v>
      </c>
      <c r="H180" s="66">
        <f t="shared" si="10"/>
        <v>0</v>
      </c>
      <c r="I180" s="66">
        <f t="shared" si="11"/>
        <v>0</v>
      </c>
      <c r="J180" s="66">
        <f t="shared" si="12"/>
        <v>0</v>
      </c>
      <c r="K180" s="66">
        <f t="shared" si="13"/>
        <v>0</v>
      </c>
      <c r="L180" s="83">
        <f t="shared" si="14"/>
        <v>2900</v>
      </c>
      <c r="M180" s="84" t="s">
        <v>29</v>
      </c>
    </row>
    <row r="181" spans="1:13" ht="31.5">
      <c r="A181" s="99" t="s">
        <v>600</v>
      </c>
      <c r="B181" s="99" t="s">
        <v>601</v>
      </c>
      <c r="C181" s="99" t="s">
        <v>602</v>
      </c>
      <c r="D181" s="99" t="s">
        <v>603</v>
      </c>
      <c r="E181" s="21">
        <v>6500</v>
      </c>
      <c r="F181" s="6">
        <v>40</v>
      </c>
      <c r="G181" s="6">
        <v>40</v>
      </c>
      <c r="H181" s="17">
        <f t="shared" si="10"/>
        <v>0</v>
      </c>
      <c r="I181" s="17">
        <f t="shared" si="11"/>
        <v>0</v>
      </c>
      <c r="J181" s="17">
        <f t="shared" si="12"/>
        <v>0</v>
      </c>
      <c r="K181" s="17">
        <f t="shared" si="13"/>
        <v>0</v>
      </c>
      <c r="L181" s="18">
        <f t="shared" si="14"/>
        <v>260000</v>
      </c>
      <c r="M181" s="30" t="s">
        <v>234</v>
      </c>
    </row>
    <row r="182" spans="1:13" ht="47.25">
      <c r="A182" s="99" t="s">
        <v>604</v>
      </c>
      <c r="B182" s="99" t="s">
        <v>605</v>
      </c>
      <c r="C182" s="113" t="s">
        <v>606</v>
      </c>
      <c r="D182" s="99" t="s">
        <v>607</v>
      </c>
      <c r="E182" s="21">
        <v>1224</v>
      </c>
      <c r="F182" s="6">
        <v>40</v>
      </c>
      <c r="G182" s="6">
        <v>40</v>
      </c>
      <c r="H182" s="17">
        <f t="shared" si="10"/>
        <v>0</v>
      </c>
      <c r="I182" s="17">
        <f t="shared" si="11"/>
        <v>0</v>
      </c>
      <c r="J182" s="17">
        <f t="shared" si="12"/>
        <v>0</v>
      </c>
      <c r="K182" s="17">
        <f t="shared" si="13"/>
        <v>0</v>
      </c>
      <c r="L182" s="18">
        <f t="shared" si="14"/>
        <v>48960</v>
      </c>
      <c r="M182" s="30" t="s">
        <v>29</v>
      </c>
    </row>
    <row r="183" spans="1:13" s="42" customFormat="1" ht="31.5">
      <c r="A183" s="69" t="s">
        <v>608</v>
      </c>
      <c r="B183" s="69" t="s">
        <v>609</v>
      </c>
      <c r="C183" s="69" t="s">
        <v>610</v>
      </c>
      <c r="D183" s="69" t="s">
        <v>611</v>
      </c>
      <c r="E183" s="91">
        <v>4250</v>
      </c>
      <c r="F183" s="65">
        <v>3</v>
      </c>
      <c r="G183" s="65">
        <v>3</v>
      </c>
      <c r="H183" s="66">
        <f t="shared" si="10"/>
        <v>0</v>
      </c>
      <c r="I183" s="66">
        <f t="shared" si="11"/>
        <v>0</v>
      </c>
      <c r="J183" s="66">
        <f t="shared" si="12"/>
        <v>0</v>
      </c>
      <c r="K183" s="66">
        <f t="shared" si="13"/>
        <v>0</v>
      </c>
      <c r="L183" s="83">
        <f t="shared" si="14"/>
        <v>12750</v>
      </c>
      <c r="M183" s="84" t="s">
        <v>111</v>
      </c>
    </row>
    <row r="184" spans="1:13">
      <c r="A184" s="99" t="s">
        <v>612</v>
      </c>
      <c r="B184" s="99" t="s">
        <v>613</v>
      </c>
      <c r="C184" s="99" t="s">
        <v>614</v>
      </c>
      <c r="D184" s="99" t="s">
        <v>615</v>
      </c>
      <c r="E184" s="21">
        <v>2706.75</v>
      </c>
      <c r="F184" s="6">
        <v>45</v>
      </c>
      <c r="G184" s="6">
        <v>45</v>
      </c>
      <c r="H184" s="17">
        <f t="shared" si="10"/>
        <v>0</v>
      </c>
      <c r="I184" s="17">
        <f t="shared" si="11"/>
        <v>0</v>
      </c>
      <c r="J184" s="17">
        <f t="shared" si="12"/>
        <v>0</v>
      </c>
      <c r="K184" s="17">
        <f t="shared" si="13"/>
        <v>0</v>
      </c>
      <c r="L184" s="18">
        <f t="shared" si="14"/>
        <v>121803.75</v>
      </c>
      <c r="M184" s="30" t="s">
        <v>130</v>
      </c>
    </row>
    <row r="185" spans="1:13" s="42" customFormat="1" ht="31.5">
      <c r="A185" s="69" t="s">
        <v>616</v>
      </c>
      <c r="B185" s="104" t="s">
        <v>617</v>
      </c>
      <c r="C185" s="69" t="s">
        <v>618</v>
      </c>
      <c r="D185" s="69" t="s">
        <v>118</v>
      </c>
      <c r="E185" s="91">
        <v>14.66</v>
      </c>
      <c r="F185" s="65">
        <v>196</v>
      </c>
      <c r="G185" s="65">
        <v>196</v>
      </c>
      <c r="H185" s="66">
        <f t="shared" si="10"/>
        <v>0</v>
      </c>
      <c r="I185" s="66">
        <f t="shared" si="11"/>
        <v>0</v>
      </c>
      <c r="J185" s="66">
        <f t="shared" si="12"/>
        <v>0</v>
      </c>
      <c r="K185" s="66">
        <f t="shared" si="13"/>
        <v>0</v>
      </c>
      <c r="L185" s="83">
        <f t="shared" si="14"/>
        <v>2873.36</v>
      </c>
      <c r="M185" s="84" t="s">
        <v>312</v>
      </c>
    </row>
    <row r="186" spans="1:13" s="42" customFormat="1">
      <c r="A186" s="69"/>
      <c r="B186" s="69" t="s">
        <v>695</v>
      </c>
      <c r="C186" s="69"/>
      <c r="D186" s="69" t="s">
        <v>696</v>
      </c>
      <c r="E186" s="91"/>
      <c r="F186" s="65">
        <v>50</v>
      </c>
      <c r="G186" s="65">
        <v>50</v>
      </c>
      <c r="H186" s="66">
        <f t="shared" si="10"/>
        <v>0</v>
      </c>
      <c r="I186" s="66"/>
      <c r="J186" s="66">
        <f t="shared" si="12"/>
        <v>0</v>
      </c>
      <c r="K186" s="66"/>
      <c r="L186" s="83"/>
      <c r="M186" s="84"/>
    </row>
    <row r="187" spans="1:13" s="42" customFormat="1">
      <c r="A187" s="69"/>
      <c r="B187" s="69" t="s">
        <v>619</v>
      </c>
      <c r="C187" s="69" t="s">
        <v>561</v>
      </c>
      <c r="D187" s="104" t="s">
        <v>620</v>
      </c>
      <c r="E187" s="91">
        <v>1885</v>
      </c>
      <c r="F187" s="65">
        <v>50</v>
      </c>
      <c r="G187" s="65">
        <v>50</v>
      </c>
      <c r="H187" s="66">
        <f t="shared" si="10"/>
        <v>0</v>
      </c>
      <c r="I187" s="66">
        <f t="shared" si="11"/>
        <v>0</v>
      </c>
      <c r="J187" s="66">
        <f t="shared" si="12"/>
        <v>0</v>
      </c>
      <c r="K187" s="66">
        <f t="shared" si="13"/>
        <v>0</v>
      </c>
      <c r="L187" s="83">
        <f t="shared" si="14"/>
        <v>94250</v>
      </c>
      <c r="M187" s="84" t="s">
        <v>621</v>
      </c>
    </row>
    <row r="188" spans="1:13" s="42" customFormat="1">
      <c r="A188" s="69"/>
      <c r="B188" s="69"/>
      <c r="C188" s="69"/>
      <c r="D188" s="104"/>
      <c r="E188" s="91"/>
      <c r="F188" s="65"/>
      <c r="G188" s="65"/>
      <c r="H188" s="66"/>
      <c r="I188" s="239" t="s">
        <v>697</v>
      </c>
      <c r="J188" s="240"/>
      <c r="K188" s="241"/>
      <c r="L188" s="83"/>
      <c r="M188" s="84"/>
    </row>
    <row r="189" spans="1:13" s="42" customFormat="1">
      <c r="A189" s="69"/>
      <c r="B189" s="69"/>
      <c r="C189" s="69"/>
      <c r="D189" s="104"/>
      <c r="E189" s="91"/>
      <c r="F189" s="65"/>
      <c r="G189" s="65"/>
      <c r="H189" s="66"/>
      <c r="I189" s="66"/>
      <c r="J189" s="66"/>
      <c r="K189" s="66"/>
      <c r="L189" s="83"/>
      <c r="M189" s="84"/>
    </row>
    <row r="190" spans="1:13" s="42" customFormat="1">
      <c r="A190" s="69"/>
      <c r="B190" s="69"/>
      <c r="C190" s="69"/>
      <c r="D190" s="104"/>
      <c r="E190" s="91"/>
      <c r="F190" s="65"/>
      <c r="G190" s="65"/>
      <c r="H190" s="66"/>
      <c r="I190" s="66"/>
      <c r="J190" s="66"/>
      <c r="K190" s="66"/>
      <c r="L190" s="83"/>
      <c r="M190" s="84"/>
    </row>
    <row r="191" spans="1:13" s="42" customFormat="1">
      <c r="A191" s="114" t="s">
        <v>698</v>
      </c>
      <c r="B191" s="242" t="s">
        <v>699</v>
      </c>
      <c r="C191" s="243"/>
      <c r="D191" s="104"/>
      <c r="E191" s="91"/>
      <c r="F191" s="65"/>
      <c r="G191" s="65"/>
      <c r="H191" s="66"/>
      <c r="I191" s="66"/>
      <c r="J191" s="66"/>
      <c r="K191" s="66"/>
      <c r="L191" s="83"/>
      <c r="M191" s="84"/>
    </row>
    <row r="192" spans="1:13">
      <c r="A192" s="102" t="s">
        <v>622</v>
      </c>
      <c r="B192" s="102" t="s">
        <v>623</v>
      </c>
      <c r="C192" s="102" t="s">
        <v>624</v>
      </c>
      <c r="D192" s="103" t="s">
        <v>625</v>
      </c>
      <c r="E192" s="21">
        <v>801</v>
      </c>
      <c r="F192" s="6">
        <v>64</v>
      </c>
      <c r="G192" s="6">
        <v>64</v>
      </c>
      <c r="H192" s="17">
        <f t="shared" si="10"/>
        <v>0</v>
      </c>
      <c r="I192" s="17">
        <f t="shared" si="11"/>
        <v>0</v>
      </c>
      <c r="J192" s="17">
        <f t="shared" si="12"/>
        <v>0</v>
      </c>
      <c r="K192" s="17">
        <f t="shared" si="13"/>
        <v>0</v>
      </c>
      <c r="L192" s="18">
        <f t="shared" si="14"/>
        <v>51264</v>
      </c>
      <c r="M192" s="30" t="s">
        <v>626</v>
      </c>
    </row>
    <row r="193" spans="1:13" s="42" customFormat="1">
      <c r="A193" s="62" t="s">
        <v>627</v>
      </c>
      <c r="B193" s="62" t="s">
        <v>628</v>
      </c>
      <c r="C193" s="62" t="s">
        <v>624</v>
      </c>
      <c r="D193" s="63" t="s">
        <v>625</v>
      </c>
      <c r="E193" s="91">
        <v>1972</v>
      </c>
      <c r="F193" s="65">
        <v>50</v>
      </c>
      <c r="G193" s="65">
        <v>50</v>
      </c>
      <c r="H193" s="66">
        <f t="shared" si="10"/>
        <v>0</v>
      </c>
      <c r="I193" s="66">
        <f t="shared" si="11"/>
        <v>0</v>
      </c>
      <c r="J193" s="66">
        <f t="shared" si="12"/>
        <v>0</v>
      </c>
      <c r="K193" s="66">
        <f t="shared" si="13"/>
        <v>0</v>
      </c>
      <c r="L193" s="83">
        <f t="shared" si="14"/>
        <v>98600</v>
      </c>
      <c r="M193" s="84" t="s">
        <v>234</v>
      </c>
    </row>
    <row r="194" spans="1:13" s="42" customFormat="1" ht="31.5">
      <c r="A194" s="62" t="s">
        <v>629</v>
      </c>
      <c r="B194" s="62" t="s">
        <v>630</v>
      </c>
      <c r="C194" s="62" t="s">
        <v>624</v>
      </c>
      <c r="D194" s="63" t="s">
        <v>625</v>
      </c>
      <c r="E194" s="91">
        <v>2200</v>
      </c>
      <c r="F194" s="65">
        <v>0</v>
      </c>
      <c r="G194" s="65">
        <v>0</v>
      </c>
      <c r="H194" s="66">
        <f t="shared" si="10"/>
        <v>0</v>
      </c>
      <c r="I194" s="66">
        <f t="shared" si="11"/>
        <v>0</v>
      </c>
      <c r="J194" s="66">
        <f t="shared" si="12"/>
        <v>0</v>
      </c>
      <c r="K194" s="66">
        <f t="shared" si="13"/>
        <v>0</v>
      </c>
      <c r="L194" s="83">
        <f t="shared" si="14"/>
        <v>0</v>
      </c>
      <c r="M194" s="84" t="s">
        <v>631</v>
      </c>
    </row>
    <row r="195" spans="1:13" ht="31.5">
      <c r="A195" s="102"/>
      <c r="B195" s="102" t="s">
        <v>632</v>
      </c>
      <c r="C195" s="102" t="s">
        <v>633</v>
      </c>
      <c r="D195" s="103" t="s">
        <v>633</v>
      </c>
      <c r="E195" s="21">
        <v>1163.75</v>
      </c>
      <c r="F195" s="6">
        <v>76</v>
      </c>
      <c r="G195" s="6">
        <v>76</v>
      </c>
      <c r="H195" s="17">
        <f t="shared" si="10"/>
        <v>0</v>
      </c>
      <c r="I195" s="17">
        <f t="shared" si="11"/>
        <v>0</v>
      </c>
      <c r="J195" s="17">
        <f t="shared" si="12"/>
        <v>0</v>
      </c>
      <c r="K195" s="17">
        <f t="shared" si="13"/>
        <v>0</v>
      </c>
      <c r="L195" s="18">
        <f t="shared" si="14"/>
        <v>88445</v>
      </c>
      <c r="M195" s="30" t="s">
        <v>634</v>
      </c>
    </row>
    <row r="196" spans="1:13" s="96" customFormat="1">
      <c r="A196" s="102"/>
      <c r="B196" s="102" t="s">
        <v>635</v>
      </c>
      <c r="C196" s="102" t="s">
        <v>636</v>
      </c>
      <c r="D196" s="103" t="s">
        <v>636</v>
      </c>
      <c r="E196" s="21">
        <v>1530</v>
      </c>
      <c r="F196" s="6">
        <v>35</v>
      </c>
      <c r="G196" s="6">
        <v>35</v>
      </c>
      <c r="H196" s="5">
        <f t="shared" si="10"/>
        <v>0</v>
      </c>
      <c r="I196" s="5">
        <f t="shared" si="11"/>
        <v>0</v>
      </c>
      <c r="J196" s="5">
        <f t="shared" si="12"/>
        <v>0</v>
      </c>
      <c r="K196" s="5">
        <f t="shared" si="13"/>
        <v>0</v>
      </c>
      <c r="L196" s="11">
        <f t="shared" si="14"/>
        <v>53550</v>
      </c>
      <c r="M196" s="12" t="s">
        <v>135</v>
      </c>
    </row>
    <row r="197" spans="1:13" s="96" customFormat="1">
      <c r="A197" s="102"/>
      <c r="B197" s="102" t="s">
        <v>637</v>
      </c>
      <c r="C197" s="102" t="s">
        <v>636</v>
      </c>
      <c r="D197" s="103" t="s">
        <v>636</v>
      </c>
      <c r="E197" s="21">
        <v>920</v>
      </c>
      <c r="F197" s="6">
        <v>35</v>
      </c>
      <c r="G197" s="6">
        <v>35</v>
      </c>
      <c r="H197" s="5">
        <f t="shared" si="10"/>
        <v>0</v>
      </c>
      <c r="I197" s="5">
        <f t="shared" si="11"/>
        <v>0</v>
      </c>
      <c r="J197" s="5">
        <f t="shared" si="12"/>
        <v>0</v>
      </c>
      <c r="K197" s="5">
        <f t="shared" si="13"/>
        <v>0</v>
      </c>
      <c r="L197" s="11">
        <f t="shared" si="14"/>
        <v>32200</v>
      </c>
      <c r="M197" s="12" t="s">
        <v>596</v>
      </c>
    </row>
    <row r="198" spans="1:13" ht="31.5">
      <c r="A198" s="102"/>
      <c r="B198" s="102" t="s">
        <v>638</v>
      </c>
      <c r="C198" s="102" t="s">
        <v>639</v>
      </c>
      <c r="D198" s="103" t="s">
        <v>633</v>
      </c>
      <c r="E198" s="21">
        <v>947.15</v>
      </c>
      <c r="F198" s="6">
        <v>145</v>
      </c>
      <c r="G198" s="6">
        <v>145</v>
      </c>
      <c r="H198" s="17">
        <f t="shared" si="10"/>
        <v>0</v>
      </c>
      <c r="I198" s="17">
        <f t="shared" si="11"/>
        <v>0</v>
      </c>
      <c r="J198" s="17">
        <f t="shared" si="12"/>
        <v>0</v>
      </c>
      <c r="K198" s="17">
        <f t="shared" si="13"/>
        <v>0</v>
      </c>
      <c r="L198" s="18">
        <f t="shared" si="14"/>
        <v>137336.75</v>
      </c>
      <c r="M198" s="30" t="s">
        <v>211</v>
      </c>
    </row>
    <row r="199" spans="1:13">
      <c r="A199" s="102"/>
      <c r="B199" s="102" t="s">
        <v>640</v>
      </c>
      <c r="C199" s="102"/>
      <c r="D199" s="103" t="s">
        <v>641</v>
      </c>
      <c r="E199" s="21"/>
      <c r="F199" s="6">
        <v>30</v>
      </c>
      <c r="G199" s="6">
        <v>30</v>
      </c>
      <c r="H199" s="17">
        <f t="shared" si="10"/>
        <v>0</v>
      </c>
      <c r="I199" s="17">
        <f t="shared" si="11"/>
        <v>0</v>
      </c>
      <c r="J199" s="17">
        <f t="shared" si="12"/>
        <v>0</v>
      </c>
      <c r="K199" s="17">
        <f t="shared" si="13"/>
        <v>0</v>
      </c>
      <c r="L199" s="18">
        <f t="shared" si="14"/>
        <v>0</v>
      </c>
      <c r="M199" s="30" t="s">
        <v>642</v>
      </c>
    </row>
    <row r="200" spans="1:13" s="97" customFormat="1" ht="31.5">
      <c r="A200" s="62" t="s">
        <v>643</v>
      </c>
      <c r="B200" s="62" t="s">
        <v>644</v>
      </c>
      <c r="C200" s="62" t="s">
        <v>645</v>
      </c>
      <c r="D200" s="63" t="s">
        <v>645</v>
      </c>
      <c r="E200" s="91">
        <v>636.29999999999995</v>
      </c>
      <c r="F200" s="65">
        <v>0</v>
      </c>
      <c r="G200" s="65">
        <v>0</v>
      </c>
      <c r="H200" s="66">
        <f t="shared" si="10"/>
        <v>0</v>
      </c>
      <c r="I200" s="66">
        <f t="shared" si="11"/>
        <v>0</v>
      </c>
      <c r="J200" s="66">
        <f t="shared" si="12"/>
        <v>0</v>
      </c>
      <c r="K200" s="66">
        <f t="shared" si="13"/>
        <v>0</v>
      </c>
      <c r="L200" s="83">
        <f t="shared" si="14"/>
        <v>0</v>
      </c>
      <c r="M200" s="84" t="s">
        <v>646</v>
      </c>
    </row>
    <row r="201" spans="1:13">
      <c r="A201" s="99"/>
      <c r="B201" s="115" t="s">
        <v>647</v>
      </c>
      <c r="C201" s="116" t="s">
        <v>645</v>
      </c>
      <c r="D201" s="115" t="s">
        <v>645</v>
      </c>
      <c r="E201" s="117">
        <v>3.5</v>
      </c>
      <c r="F201" s="6">
        <v>22000</v>
      </c>
      <c r="G201" s="6">
        <v>22000</v>
      </c>
      <c r="H201" s="17">
        <f t="shared" si="10"/>
        <v>0</v>
      </c>
      <c r="I201" s="17">
        <f t="shared" si="11"/>
        <v>0</v>
      </c>
      <c r="J201" s="17">
        <f t="shared" si="12"/>
        <v>0</v>
      </c>
      <c r="K201" s="17">
        <f t="shared" si="13"/>
        <v>0</v>
      </c>
      <c r="L201" s="18">
        <f t="shared" si="14"/>
        <v>77000</v>
      </c>
      <c r="M201" s="30" t="s">
        <v>648</v>
      </c>
    </row>
    <row r="202" spans="1:13" ht="31.5">
      <c r="A202" s="99"/>
      <c r="B202" s="4" t="s">
        <v>649</v>
      </c>
      <c r="C202" s="116" t="s">
        <v>645</v>
      </c>
      <c r="D202" s="115" t="s">
        <v>645</v>
      </c>
      <c r="E202" s="117">
        <v>5</v>
      </c>
      <c r="F202" s="6">
        <v>12000</v>
      </c>
      <c r="G202" s="6">
        <v>12000</v>
      </c>
      <c r="H202" s="17">
        <f t="shared" si="10"/>
        <v>0</v>
      </c>
      <c r="I202" s="17">
        <f t="shared" si="11"/>
        <v>0</v>
      </c>
      <c r="J202" s="17">
        <f t="shared" si="12"/>
        <v>0</v>
      </c>
      <c r="K202" s="17">
        <f t="shared" si="13"/>
        <v>0</v>
      </c>
      <c r="L202" s="18">
        <f t="shared" si="14"/>
        <v>60000</v>
      </c>
      <c r="M202" s="30" t="s">
        <v>648</v>
      </c>
    </row>
    <row r="203" spans="1:13" ht="31.5">
      <c r="B203" s="4" t="s">
        <v>650</v>
      </c>
      <c r="C203" s="4" t="s">
        <v>645</v>
      </c>
      <c r="D203" s="4" t="s">
        <v>641</v>
      </c>
      <c r="E203" s="24">
        <v>450</v>
      </c>
      <c r="F203" s="6">
        <v>150</v>
      </c>
      <c r="G203" s="6">
        <v>150</v>
      </c>
      <c r="H203" s="17">
        <f t="shared" si="10"/>
        <v>0</v>
      </c>
      <c r="I203" s="17">
        <f t="shared" si="11"/>
        <v>0</v>
      </c>
      <c r="J203" s="17">
        <f t="shared" si="12"/>
        <v>0</v>
      </c>
      <c r="K203" s="17">
        <f t="shared" si="13"/>
        <v>0</v>
      </c>
      <c r="L203" s="18">
        <f t="shared" si="14"/>
        <v>67500</v>
      </c>
      <c r="M203" s="30" t="s">
        <v>85</v>
      </c>
    </row>
    <row r="204" spans="1:13" ht="31.5">
      <c r="B204" s="4" t="s">
        <v>651</v>
      </c>
      <c r="C204" s="4" t="s">
        <v>645</v>
      </c>
      <c r="D204" s="4" t="s">
        <v>641</v>
      </c>
      <c r="E204" s="25">
        <v>230</v>
      </c>
      <c r="F204" s="6">
        <v>100</v>
      </c>
      <c r="G204" s="6">
        <v>100</v>
      </c>
      <c r="H204" s="17">
        <f t="shared" si="10"/>
        <v>0</v>
      </c>
      <c r="I204" s="17">
        <f t="shared" si="11"/>
        <v>0</v>
      </c>
      <c r="J204" s="17">
        <f t="shared" si="12"/>
        <v>0</v>
      </c>
      <c r="K204" s="17">
        <f t="shared" si="13"/>
        <v>0</v>
      </c>
      <c r="L204" s="18">
        <f t="shared" si="14"/>
        <v>23000</v>
      </c>
      <c r="M204" s="30" t="s">
        <v>159</v>
      </c>
    </row>
    <row r="205" spans="1:13">
      <c r="H205" s="239" t="s">
        <v>697</v>
      </c>
      <c r="I205" s="240"/>
      <c r="J205" s="240"/>
      <c r="K205" s="241"/>
      <c r="L205" s="118">
        <f>SUM(L6:L204)</f>
        <v>10908981.23</v>
      </c>
      <c r="M205" s="30"/>
    </row>
  </sheetData>
  <mergeCells count="5">
    <mergeCell ref="A1:P1"/>
    <mergeCell ref="A3:P3"/>
    <mergeCell ref="I188:K188"/>
    <mergeCell ref="B191:C191"/>
    <mergeCell ref="H205:K205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217"/>
  <sheetViews>
    <sheetView topLeftCell="A79" workbookViewId="0">
      <selection activeCell="C88" sqref="C88"/>
    </sheetView>
  </sheetViews>
  <sheetFormatPr defaultColWidth="9.140625" defaultRowHeight="15.75"/>
  <cols>
    <col min="1" max="1" width="9" style="44" customWidth="1"/>
    <col min="2" max="2" width="18.5703125" style="40" customWidth="1"/>
    <col min="3" max="3" width="38.5703125" style="44" customWidth="1"/>
    <col min="4" max="4" width="15" style="40" customWidth="1"/>
    <col min="5" max="5" width="11.42578125" style="6" customWidth="1"/>
    <col min="6" max="6" width="10.140625" style="6" customWidth="1"/>
    <col min="7" max="7" width="14.140625" style="6" customWidth="1"/>
    <col min="8" max="8" width="7.7109375" style="6" customWidth="1"/>
    <col min="9" max="9" width="11" style="6" customWidth="1"/>
    <col min="10" max="10" width="8.7109375" style="6" customWidth="1"/>
    <col min="11" max="11" width="12.140625" style="6" customWidth="1"/>
    <col min="12" max="12" width="16.28515625" style="45" customWidth="1"/>
    <col min="13" max="13" width="16.42578125" style="46" customWidth="1"/>
    <col min="14" max="14" width="8.7109375" style="44" customWidth="1"/>
    <col min="15" max="15" width="6.42578125" style="44" customWidth="1"/>
    <col min="16" max="16" width="7.85546875" style="44" customWidth="1"/>
    <col min="17" max="16384" width="9.140625" style="44"/>
  </cols>
  <sheetData>
    <row r="1" spans="1:16">
      <c r="A1" s="238" t="s">
        <v>0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</row>
    <row r="3" spans="1:16">
      <c r="A3" s="238" t="s">
        <v>700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</row>
    <row r="5" spans="1:16" s="40" customFormat="1" ht="47.25">
      <c r="A5" s="47" t="s">
        <v>2</v>
      </c>
      <c r="B5" s="47" t="s">
        <v>3</v>
      </c>
      <c r="C5" s="47" t="s">
        <v>4</v>
      </c>
      <c r="D5" s="47" t="s">
        <v>5</v>
      </c>
      <c r="E5" s="48" t="s">
        <v>6</v>
      </c>
      <c r="F5" s="49" t="s">
        <v>7</v>
      </c>
      <c r="G5" s="50" t="s">
        <v>8</v>
      </c>
      <c r="H5" s="51" t="s">
        <v>9</v>
      </c>
      <c r="I5" s="75" t="s">
        <v>10</v>
      </c>
      <c r="J5" s="51" t="s">
        <v>11</v>
      </c>
      <c r="K5" s="75" t="s">
        <v>12</v>
      </c>
      <c r="L5" s="76" t="s">
        <v>13</v>
      </c>
      <c r="M5" s="77" t="s">
        <v>14</v>
      </c>
    </row>
    <row r="6" spans="1:16" s="41" customFormat="1">
      <c r="A6" s="52" t="s">
        <v>701</v>
      </c>
      <c r="B6" s="52" t="s">
        <v>702</v>
      </c>
      <c r="C6" s="52" t="s">
        <v>703</v>
      </c>
      <c r="D6" s="52" t="s">
        <v>704</v>
      </c>
      <c r="E6" s="53"/>
      <c r="F6" s="54">
        <v>660</v>
      </c>
      <c r="G6" s="55">
        <v>660</v>
      </c>
      <c r="H6" s="56"/>
      <c r="I6" s="78"/>
      <c r="J6" s="56"/>
      <c r="K6" s="78"/>
      <c r="L6" s="79"/>
      <c r="M6" s="80"/>
    </row>
    <row r="7" spans="1:16" ht="63">
      <c r="A7" s="57" t="s">
        <v>15</v>
      </c>
      <c r="B7" s="57" t="s">
        <v>16</v>
      </c>
      <c r="C7" s="57" t="s">
        <v>17</v>
      </c>
      <c r="D7" s="57" t="s">
        <v>18</v>
      </c>
      <c r="E7" s="58">
        <v>39</v>
      </c>
      <c r="F7" s="6">
        <v>325</v>
      </c>
      <c r="G7" s="6">
        <v>325</v>
      </c>
      <c r="H7" s="59">
        <f t="shared" ref="H7:H75" si="0">F7-G7</f>
        <v>0</v>
      </c>
      <c r="I7" s="59">
        <f t="shared" ref="I7:I75" si="1">E7*H7</f>
        <v>0</v>
      </c>
      <c r="J7" s="59">
        <f t="shared" ref="J7:J75" si="2">G7-F7</f>
        <v>0</v>
      </c>
      <c r="K7" s="59">
        <f t="shared" ref="K7:K75" si="3">E7*J7</f>
        <v>0</v>
      </c>
      <c r="L7" s="81">
        <f t="shared" ref="L7:L75" si="4">E7*G7</f>
        <v>12675</v>
      </c>
      <c r="M7" s="82" t="s">
        <v>19</v>
      </c>
    </row>
    <row r="8" spans="1:16" ht="47.25">
      <c r="A8" s="60" t="s">
        <v>20</v>
      </c>
      <c r="B8" s="60" t="s">
        <v>21</v>
      </c>
      <c r="C8" s="60" t="s">
        <v>22</v>
      </c>
      <c r="D8" s="60" t="s">
        <v>23</v>
      </c>
      <c r="E8" s="58">
        <v>120</v>
      </c>
      <c r="F8" s="6">
        <v>50</v>
      </c>
      <c r="G8" s="6">
        <v>50</v>
      </c>
      <c r="H8" s="59">
        <f t="shared" si="0"/>
        <v>0</v>
      </c>
      <c r="I8" s="59">
        <f t="shared" si="1"/>
        <v>0</v>
      </c>
      <c r="J8" s="59">
        <f t="shared" si="2"/>
        <v>0</v>
      </c>
      <c r="K8" s="59">
        <f t="shared" si="3"/>
        <v>0</v>
      </c>
      <c r="L8" s="81">
        <f t="shared" si="4"/>
        <v>6000</v>
      </c>
      <c r="M8" s="82" t="s">
        <v>24</v>
      </c>
    </row>
    <row r="9" spans="1:16">
      <c r="A9" s="57" t="s">
        <v>25</v>
      </c>
      <c r="B9" s="57" t="s">
        <v>26</v>
      </c>
      <c r="C9" s="57" t="s">
        <v>27</v>
      </c>
      <c r="D9" s="61" t="s">
        <v>28</v>
      </c>
      <c r="E9" s="58">
        <v>48</v>
      </c>
      <c r="F9" s="6">
        <v>290</v>
      </c>
      <c r="G9" s="6">
        <v>290</v>
      </c>
      <c r="H9" s="59">
        <f t="shared" si="0"/>
        <v>0</v>
      </c>
      <c r="I9" s="59">
        <f t="shared" si="1"/>
        <v>0</v>
      </c>
      <c r="J9" s="59">
        <f t="shared" si="2"/>
        <v>0</v>
      </c>
      <c r="K9" s="59">
        <f t="shared" si="3"/>
        <v>0</v>
      </c>
      <c r="L9" s="81">
        <f t="shared" si="4"/>
        <v>13920</v>
      </c>
      <c r="M9" s="82" t="s">
        <v>29</v>
      </c>
    </row>
    <row r="10" spans="1:16" ht="31.5">
      <c r="A10" s="57" t="s">
        <v>30</v>
      </c>
      <c r="B10" s="61" t="s">
        <v>31</v>
      </c>
      <c r="C10" s="57" t="s">
        <v>32</v>
      </c>
      <c r="D10" s="57" t="s">
        <v>33</v>
      </c>
      <c r="E10" s="58">
        <v>6000</v>
      </c>
      <c r="F10" s="6">
        <v>15</v>
      </c>
      <c r="G10" s="6">
        <v>15</v>
      </c>
      <c r="H10" s="59">
        <f t="shared" si="0"/>
        <v>0</v>
      </c>
      <c r="I10" s="59">
        <f t="shared" si="1"/>
        <v>0</v>
      </c>
      <c r="J10" s="59">
        <f t="shared" si="2"/>
        <v>0</v>
      </c>
      <c r="K10" s="59">
        <f t="shared" si="3"/>
        <v>0</v>
      </c>
      <c r="L10" s="81">
        <f t="shared" si="4"/>
        <v>90000</v>
      </c>
      <c r="M10" s="82" t="s">
        <v>34</v>
      </c>
    </row>
    <row r="11" spans="1:16">
      <c r="A11" s="57" t="s">
        <v>35</v>
      </c>
      <c r="B11" s="61" t="s">
        <v>36</v>
      </c>
      <c r="C11" s="57" t="s">
        <v>37</v>
      </c>
      <c r="D11" s="61" t="s">
        <v>38</v>
      </c>
      <c r="E11" s="58">
        <v>112</v>
      </c>
      <c r="H11" s="59">
        <f t="shared" si="0"/>
        <v>0</v>
      </c>
      <c r="I11" s="59">
        <f t="shared" si="1"/>
        <v>0</v>
      </c>
      <c r="J11" s="59">
        <f t="shared" si="2"/>
        <v>0</v>
      </c>
      <c r="K11" s="59">
        <f t="shared" si="3"/>
        <v>0</v>
      </c>
      <c r="L11" s="81">
        <f t="shared" si="4"/>
        <v>0</v>
      </c>
      <c r="M11" s="82" t="s">
        <v>39</v>
      </c>
    </row>
    <row r="12" spans="1:16">
      <c r="A12" s="57" t="s">
        <v>40</v>
      </c>
      <c r="B12" s="57" t="s">
        <v>41</v>
      </c>
      <c r="C12" s="57" t="s">
        <v>42</v>
      </c>
      <c r="D12" s="57" t="s">
        <v>28</v>
      </c>
      <c r="E12" s="58">
        <v>385</v>
      </c>
      <c r="F12" s="6">
        <v>375</v>
      </c>
      <c r="G12" s="6">
        <v>375</v>
      </c>
      <c r="H12" s="59">
        <f t="shared" si="0"/>
        <v>0</v>
      </c>
      <c r="I12" s="59">
        <f t="shared" si="1"/>
        <v>0</v>
      </c>
      <c r="J12" s="59">
        <f t="shared" si="2"/>
        <v>0</v>
      </c>
      <c r="K12" s="59">
        <f t="shared" si="3"/>
        <v>0</v>
      </c>
      <c r="L12" s="81">
        <f t="shared" si="4"/>
        <v>144375</v>
      </c>
      <c r="M12" s="82" t="s">
        <v>43</v>
      </c>
    </row>
    <row r="13" spans="1:16" ht="47.25">
      <c r="A13" s="60" t="s">
        <v>44</v>
      </c>
      <c r="B13" s="60" t="s">
        <v>45</v>
      </c>
      <c r="C13" s="60" t="s">
        <v>46</v>
      </c>
      <c r="D13" s="60" t="s">
        <v>47</v>
      </c>
      <c r="E13" s="58">
        <v>54</v>
      </c>
      <c r="F13" s="6">
        <v>600</v>
      </c>
      <c r="G13" s="6">
        <v>600</v>
      </c>
      <c r="H13" s="59">
        <f t="shared" si="0"/>
        <v>0</v>
      </c>
      <c r="I13" s="59">
        <f t="shared" si="1"/>
        <v>0</v>
      </c>
      <c r="J13" s="59">
        <f t="shared" si="2"/>
        <v>0</v>
      </c>
      <c r="K13" s="59">
        <f t="shared" si="3"/>
        <v>0</v>
      </c>
      <c r="L13" s="81">
        <f t="shared" si="4"/>
        <v>32400</v>
      </c>
      <c r="M13" s="82" t="s">
        <v>48</v>
      </c>
    </row>
    <row r="14" spans="1:16" s="42" customFormat="1">
      <c r="A14" s="62" t="s">
        <v>49</v>
      </c>
      <c r="B14" s="63" t="s">
        <v>50</v>
      </c>
      <c r="C14" s="62" t="s">
        <v>27</v>
      </c>
      <c r="D14" s="63" t="s">
        <v>51</v>
      </c>
      <c r="E14" s="64">
        <v>85</v>
      </c>
      <c r="F14" s="65">
        <v>65</v>
      </c>
      <c r="G14" s="65">
        <v>65</v>
      </c>
      <c r="H14" s="66">
        <f t="shared" si="0"/>
        <v>0</v>
      </c>
      <c r="I14" s="66">
        <f t="shared" si="1"/>
        <v>0</v>
      </c>
      <c r="J14" s="66">
        <f t="shared" si="2"/>
        <v>0</v>
      </c>
      <c r="K14" s="66">
        <f t="shared" si="3"/>
        <v>0</v>
      </c>
      <c r="L14" s="83">
        <f t="shared" si="4"/>
        <v>5525</v>
      </c>
      <c r="M14" s="84" t="s">
        <v>52</v>
      </c>
    </row>
    <row r="15" spans="1:16" s="8" customFormat="1">
      <c r="A15" s="67" t="s">
        <v>53</v>
      </c>
      <c r="B15" s="68" t="s">
        <v>54</v>
      </c>
      <c r="C15" s="67" t="s">
        <v>55</v>
      </c>
      <c r="D15" s="68" t="s">
        <v>56</v>
      </c>
      <c r="E15" s="10">
        <v>66</v>
      </c>
      <c r="F15" s="7">
        <v>400</v>
      </c>
      <c r="G15" s="7">
        <v>400</v>
      </c>
      <c r="H15" s="13">
        <f t="shared" si="0"/>
        <v>0</v>
      </c>
      <c r="I15" s="13">
        <f t="shared" si="1"/>
        <v>0</v>
      </c>
      <c r="J15" s="13">
        <f t="shared" si="2"/>
        <v>0</v>
      </c>
      <c r="K15" s="13">
        <f t="shared" si="3"/>
        <v>0</v>
      </c>
      <c r="L15" s="14">
        <f t="shared" si="4"/>
        <v>26400</v>
      </c>
      <c r="M15" s="16" t="s">
        <v>387</v>
      </c>
    </row>
    <row r="16" spans="1:16" ht="31.5">
      <c r="A16" s="57" t="s">
        <v>58</v>
      </c>
      <c r="B16" s="61" t="s">
        <v>59</v>
      </c>
      <c r="C16" s="57" t="s">
        <v>60</v>
      </c>
      <c r="D16" s="57" t="s">
        <v>61</v>
      </c>
      <c r="E16" s="58">
        <v>143</v>
      </c>
      <c r="F16" s="6">
        <v>60</v>
      </c>
      <c r="G16" s="6">
        <v>60</v>
      </c>
      <c r="H16" s="59">
        <f t="shared" si="0"/>
        <v>0</v>
      </c>
      <c r="I16" s="59">
        <f t="shared" si="1"/>
        <v>0</v>
      </c>
      <c r="J16" s="59">
        <f t="shared" si="2"/>
        <v>0</v>
      </c>
      <c r="K16" s="59">
        <f t="shared" si="3"/>
        <v>0</v>
      </c>
      <c r="L16" s="81">
        <f t="shared" si="4"/>
        <v>8580</v>
      </c>
      <c r="M16" s="82" t="s">
        <v>24</v>
      </c>
    </row>
    <row r="17" spans="1:13">
      <c r="A17" s="57" t="s">
        <v>62</v>
      </c>
      <c r="B17" s="57" t="s">
        <v>63</v>
      </c>
      <c r="C17" s="57" t="s">
        <v>64</v>
      </c>
      <c r="D17" s="57" t="s">
        <v>28</v>
      </c>
      <c r="E17" s="58">
        <v>60</v>
      </c>
      <c r="F17" s="6">
        <v>220</v>
      </c>
      <c r="G17" s="6">
        <v>220</v>
      </c>
      <c r="H17" s="59">
        <f t="shared" si="0"/>
        <v>0</v>
      </c>
      <c r="I17" s="59">
        <f t="shared" si="1"/>
        <v>0</v>
      </c>
      <c r="J17" s="59">
        <f t="shared" si="2"/>
        <v>0</v>
      </c>
      <c r="K17" s="59">
        <f t="shared" si="3"/>
        <v>0</v>
      </c>
      <c r="L17" s="81">
        <f t="shared" si="4"/>
        <v>13200</v>
      </c>
      <c r="M17" s="82" t="s">
        <v>705</v>
      </c>
    </row>
    <row r="18" spans="1:13" s="42" customFormat="1">
      <c r="A18" s="69" t="s">
        <v>706</v>
      </c>
      <c r="B18" s="69" t="s">
        <v>707</v>
      </c>
      <c r="C18" s="69" t="s">
        <v>32</v>
      </c>
      <c r="D18" s="70" t="s">
        <v>73</v>
      </c>
      <c r="E18" s="64"/>
      <c r="F18" s="65">
        <v>64</v>
      </c>
      <c r="G18" s="65">
        <v>64</v>
      </c>
      <c r="H18" s="66">
        <f t="shared" si="0"/>
        <v>0</v>
      </c>
      <c r="I18" s="66"/>
      <c r="J18" s="66">
        <f t="shared" si="2"/>
        <v>0</v>
      </c>
      <c r="K18" s="66"/>
      <c r="L18" s="83"/>
      <c r="M18" s="84"/>
    </row>
    <row r="19" spans="1:13">
      <c r="A19" s="57" t="s">
        <v>66</v>
      </c>
      <c r="B19" s="61" t="s">
        <v>67</v>
      </c>
      <c r="C19" s="57" t="s">
        <v>68</v>
      </c>
      <c r="D19" s="61" t="s">
        <v>56</v>
      </c>
      <c r="E19" s="58">
        <v>90</v>
      </c>
      <c r="F19" s="6">
        <v>110</v>
      </c>
      <c r="G19" s="6">
        <v>110</v>
      </c>
      <c r="H19" s="59">
        <f t="shared" si="0"/>
        <v>0</v>
      </c>
      <c r="I19" s="59">
        <f t="shared" si="1"/>
        <v>0</v>
      </c>
      <c r="J19" s="59">
        <f t="shared" si="2"/>
        <v>0</v>
      </c>
      <c r="K19" s="59">
        <f t="shared" si="3"/>
        <v>0</v>
      </c>
      <c r="L19" s="81">
        <f t="shared" si="4"/>
        <v>9900</v>
      </c>
      <c r="M19" s="82" t="s">
        <v>69</v>
      </c>
    </row>
    <row r="20" spans="1:13">
      <c r="A20" s="57" t="s">
        <v>70</v>
      </c>
      <c r="B20" s="57" t="s">
        <v>71</v>
      </c>
      <c r="C20" s="57" t="s">
        <v>72</v>
      </c>
      <c r="D20" s="57" t="s">
        <v>73</v>
      </c>
      <c r="E20" s="58">
        <v>13000</v>
      </c>
      <c r="F20" s="6">
        <v>20</v>
      </c>
      <c r="G20" s="6">
        <v>20</v>
      </c>
      <c r="H20" s="59">
        <f t="shared" si="0"/>
        <v>0</v>
      </c>
      <c r="I20" s="59">
        <f t="shared" si="1"/>
        <v>0</v>
      </c>
      <c r="J20" s="59">
        <f t="shared" si="2"/>
        <v>0</v>
      </c>
      <c r="K20" s="59">
        <f t="shared" si="3"/>
        <v>0</v>
      </c>
      <c r="L20" s="81">
        <f t="shared" si="4"/>
        <v>260000</v>
      </c>
      <c r="M20" s="82" t="s">
        <v>39</v>
      </c>
    </row>
    <row r="21" spans="1:13">
      <c r="A21" s="57" t="s">
        <v>74</v>
      </c>
      <c r="B21" s="61" t="s">
        <v>75</v>
      </c>
      <c r="C21" s="57" t="s">
        <v>76</v>
      </c>
      <c r="D21" s="57" t="s">
        <v>77</v>
      </c>
      <c r="E21" s="58">
        <v>3.35</v>
      </c>
      <c r="F21" s="6">
        <v>2010</v>
      </c>
      <c r="G21" s="6">
        <v>2010</v>
      </c>
      <c r="H21" s="59">
        <f t="shared" si="0"/>
        <v>0</v>
      </c>
      <c r="I21" s="59">
        <f t="shared" si="1"/>
        <v>0</v>
      </c>
      <c r="J21" s="59">
        <f t="shared" si="2"/>
        <v>0</v>
      </c>
      <c r="K21" s="59">
        <f t="shared" si="3"/>
        <v>0</v>
      </c>
      <c r="L21" s="81">
        <f t="shared" si="4"/>
        <v>6733.5</v>
      </c>
      <c r="M21" s="82" t="s">
        <v>78</v>
      </c>
    </row>
    <row r="22" spans="1:13" s="8" customFormat="1">
      <c r="A22" s="20" t="s">
        <v>79</v>
      </c>
      <c r="B22" s="71" t="s">
        <v>80</v>
      </c>
      <c r="C22" s="20" t="s">
        <v>81</v>
      </c>
      <c r="D22" s="20" t="s">
        <v>77</v>
      </c>
      <c r="E22" s="9">
        <v>0.85</v>
      </c>
      <c r="F22" s="7">
        <v>9000</v>
      </c>
      <c r="G22" s="7">
        <v>9000</v>
      </c>
      <c r="H22" s="13">
        <f t="shared" si="0"/>
        <v>0</v>
      </c>
      <c r="I22" s="13">
        <f t="shared" si="1"/>
        <v>0</v>
      </c>
      <c r="J22" s="13">
        <f t="shared" si="2"/>
        <v>0</v>
      </c>
      <c r="K22" s="13">
        <f t="shared" si="3"/>
        <v>0</v>
      </c>
      <c r="L22" s="14">
        <f t="shared" si="4"/>
        <v>7650</v>
      </c>
      <c r="M22" s="16" t="s">
        <v>708</v>
      </c>
    </row>
    <row r="23" spans="1:13" s="8" customFormat="1">
      <c r="A23" s="67" t="s">
        <v>82</v>
      </c>
      <c r="B23" s="68" t="s">
        <v>80</v>
      </c>
      <c r="C23" s="67" t="s">
        <v>83</v>
      </c>
      <c r="D23" s="67" t="s">
        <v>84</v>
      </c>
      <c r="E23" s="9">
        <v>42</v>
      </c>
      <c r="F23" s="7">
        <v>40</v>
      </c>
      <c r="G23" s="7">
        <v>45</v>
      </c>
      <c r="H23" s="13">
        <f t="shared" si="0"/>
        <v>-5</v>
      </c>
      <c r="I23" s="13">
        <f t="shared" si="1"/>
        <v>-210</v>
      </c>
      <c r="J23" s="13">
        <f t="shared" si="2"/>
        <v>5</v>
      </c>
      <c r="K23" s="13">
        <f t="shared" si="3"/>
        <v>210</v>
      </c>
      <c r="L23" s="14">
        <f t="shared" si="4"/>
        <v>1890</v>
      </c>
      <c r="M23" s="16" t="s">
        <v>85</v>
      </c>
    </row>
    <row r="24" spans="1:13" ht="31.5">
      <c r="A24" s="60" t="s">
        <v>86</v>
      </c>
      <c r="B24" s="72" t="s">
        <v>87</v>
      </c>
      <c r="C24" s="60" t="s">
        <v>88</v>
      </c>
      <c r="D24" s="72" t="s">
        <v>89</v>
      </c>
      <c r="E24" s="58">
        <v>1.88</v>
      </c>
      <c r="F24" s="6">
        <v>28000</v>
      </c>
      <c r="G24" s="6">
        <v>28000</v>
      </c>
      <c r="H24" s="59">
        <f t="shared" si="0"/>
        <v>0</v>
      </c>
      <c r="I24" s="59">
        <f t="shared" si="1"/>
        <v>0</v>
      </c>
      <c r="J24" s="59">
        <f t="shared" si="2"/>
        <v>0</v>
      </c>
      <c r="K24" s="59">
        <f t="shared" si="3"/>
        <v>0</v>
      </c>
      <c r="L24" s="81">
        <f t="shared" si="4"/>
        <v>52640</v>
      </c>
      <c r="M24" s="82" t="s">
        <v>34</v>
      </c>
    </row>
    <row r="25" spans="1:13">
      <c r="A25" s="57" t="s">
        <v>90</v>
      </c>
      <c r="B25" s="61" t="s">
        <v>87</v>
      </c>
      <c r="C25" s="57" t="s">
        <v>91</v>
      </c>
      <c r="D25" s="57" t="s">
        <v>84</v>
      </c>
      <c r="E25" s="58">
        <v>39</v>
      </c>
      <c r="F25" s="6">
        <v>50</v>
      </c>
      <c r="G25" s="6">
        <v>50</v>
      </c>
      <c r="H25" s="59">
        <f t="shared" si="0"/>
        <v>0</v>
      </c>
      <c r="I25" s="59">
        <f t="shared" si="1"/>
        <v>0</v>
      </c>
      <c r="J25" s="59">
        <f t="shared" si="2"/>
        <v>0</v>
      </c>
      <c r="K25" s="59">
        <f t="shared" si="3"/>
        <v>0</v>
      </c>
      <c r="L25" s="81">
        <f t="shared" si="4"/>
        <v>1950</v>
      </c>
      <c r="M25" s="82" t="s">
        <v>29</v>
      </c>
    </row>
    <row r="26" spans="1:13" s="8" customFormat="1">
      <c r="A26" s="20" t="s">
        <v>92</v>
      </c>
      <c r="B26" s="71" t="s">
        <v>93</v>
      </c>
      <c r="C26" s="20" t="s">
        <v>94</v>
      </c>
      <c r="D26" s="20" t="s">
        <v>95</v>
      </c>
      <c r="E26" s="10">
        <v>4</v>
      </c>
      <c r="F26" s="7">
        <v>0</v>
      </c>
      <c r="G26" s="7">
        <v>0</v>
      </c>
      <c r="H26" s="13">
        <f t="shared" si="0"/>
        <v>0</v>
      </c>
      <c r="I26" s="13">
        <f t="shared" si="1"/>
        <v>0</v>
      </c>
      <c r="J26" s="13">
        <f t="shared" si="2"/>
        <v>0</v>
      </c>
      <c r="K26" s="13">
        <f t="shared" si="3"/>
        <v>0</v>
      </c>
      <c r="L26" s="14">
        <f t="shared" si="4"/>
        <v>0</v>
      </c>
      <c r="M26" s="16" t="s">
        <v>78</v>
      </c>
    </row>
    <row r="27" spans="1:13" s="8" customFormat="1" ht="31.5">
      <c r="A27" s="67" t="s">
        <v>96</v>
      </c>
      <c r="B27" s="68" t="s">
        <v>93</v>
      </c>
      <c r="C27" s="67" t="s">
        <v>97</v>
      </c>
      <c r="D27" s="67" t="s">
        <v>28</v>
      </c>
      <c r="E27" s="10">
        <v>12</v>
      </c>
      <c r="F27" s="7">
        <v>4790</v>
      </c>
      <c r="G27" s="7">
        <v>4790</v>
      </c>
      <c r="H27" s="13">
        <f t="shared" si="0"/>
        <v>0</v>
      </c>
      <c r="I27" s="13">
        <f t="shared" si="1"/>
        <v>0</v>
      </c>
      <c r="J27" s="13">
        <f t="shared" si="2"/>
        <v>0</v>
      </c>
      <c r="K27" s="13">
        <f t="shared" si="3"/>
        <v>0</v>
      </c>
      <c r="L27" s="14">
        <f t="shared" si="4"/>
        <v>57480</v>
      </c>
      <c r="M27" s="16" t="s">
        <v>188</v>
      </c>
    </row>
    <row r="28" spans="1:13" s="8" customFormat="1">
      <c r="A28" s="20" t="s">
        <v>99</v>
      </c>
      <c r="B28" s="71" t="s">
        <v>100</v>
      </c>
      <c r="C28" s="20" t="s">
        <v>101</v>
      </c>
      <c r="D28" s="20" t="s">
        <v>77</v>
      </c>
      <c r="E28" s="10">
        <v>1.33</v>
      </c>
      <c r="F28" s="7">
        <v>1300</v>
      </c>
      <c r="G28" s="7">
        <v>1300</v>
      </c>
      <c r="H28" s="13">
        <f t="shared" si="0"/>
        <v>0</v>
      </c>
      <c r="I28" s="13">
        <f t="shared" si="1"/>
        <v>0</v>
      </c>
      <c r="J28" s="13">
        <f t="shared" si="2"/>
        <v>0</v>
      </c>
      <c r="K28" s="13">
        <f t="shared" si="3"/>
        <v>0</v>
      </c>
      <c r="L28" s="14">
        <f t="shared" si="4"/>
        <v>1729</v>
      </c>
      <c r="M28" s="16" t="s">
        <v>39</v>
      </c>
    </row>
    <row r="29" spans="1:13">
      <c r="A29" s="57" t="s">
        <v>102</v>
      </c>
      <c r="B29" s="61" t="s">
        <v>87</v>
      </c>
      <c r="C29" s="57" t="s">
        <v>103</v>
      </c>
      <c r="D29" s="57" t="s">
        <v>104</v>
      </c>
      <c r="E29" s="58">
        <v>5.7</v>
      </c>
      <c r="F29" s="6">
        <v>300</v>
      </c>
      <c r="G29" s="6">
        <v>300</v>
      </c>
      <c r="H29" s="59">
        <f t="shared" si="0"/>
        <v>0</v>
      </c>
      <c r="I29" s="59">
        <f t="shared" si="1"/>
        <v>0</v>
      </c>
      <c r="J29" s="59">
        <f t="shared" si="2"/>
        <v>0</v>
      </c>
      <c r="K29" s="59">
        <f t="shared" si="3"/>
        <v>0</v>
      </c>
      <c r="L29" s="81">
        <f t="shared" si="4"/>
        <v>1710</v>
      </c>
      <c r="M29" s="82" t="s">
        <v>29</v>
      </c>
    </row>
    <row r="30" spans="1:13">
      <c r="A30" s="57" t="s">
        <v>105</v>
      </c>
      <c r="B30" s="61" t="s">
        <v>87</v>
      </c>
      <c r="C30" s="57" t="s">
        <v>106</v>
      </c>
      <c r="D30" s="57" t="s">
        <v>107</v>
      </c>
      <c r="E30" s="58">
        <v>6</v>
      </c>
      <c r="H30" s="59">
        <f t="shared" si="0"/>
        <v>0</v>
      </c>
      <c r="I30" s="59">
        <f t="shared" si="1"/>
        <v>0</v>
      </c>
      <c r="J30" s="59">
        <f t="shared" si="2"/>
        <v>0</v>
      </c>
      <c r="K30" s="59">
        <f t="shared" si="3"/>
        <v>0</v>
      </c>
      <c r="L30" s="81">
        <f t="shared" si="4"/>
        <v>0</v>
      </c>
      <c r="M30" s="82"/>
    </row>
    <row r="31" spans="1:13">
      <c r="A31" s="57" t="s">
        <v>108</v>
      </c>
      <c r="B31" s="61" t="s">
        <v>109</v>
      </c>
      <c r="C31" s="57" t="s">
        <v>110</v>
      </c>
      <c r="D31" s="57" t="s">
        <v>104</v>
      </c>
      <c r="E31" s="58">
        <v>56.94</v>
      </c>
      <c r="F31" s="6">
        <v>700</v>
      </c>
      <c r="G31" s="6">
        <v>700</v>
      </c>
      <c r="H31" s="59">
        <f t="shared" si="0"/>
        <v>0</v>
      </c>
      <c r="I31" s="59">
        <f t="shared" si="1"/>
        <v>0</v>
      </c>
      <c r="J31" s="59">
        <f t="shared" si="2"/>
        <v>0</v>
      </c>
      <c r="K31" s="59">
        <f t="shared" si="3"/>
        <v>0</v>
      </c>
      <c r="L31" s="81">
        <f t="shared" si="4"/>
        <v>39858</v>
      </c>
      <c r="M31" s="82" t="s">
        <v>111</v>
      </c>
    </row>
    <row r="32" spans="1:13">
      <c r="A32" s="60" t="s">
        <v>112</v>
      </c>
      <c r="B32" s="72" t="s">
        <v>87</v>
      </c>
      <c r="C32" s="60" t="s">
        <v>113</v>
      </c>
      <c r="D32" s="60" t="s">
        <v>114</v>
      </c>
      <c r="E32" s="58">
        <v>68</v>
      </c>
      <c r="F32" s="6">
        <v>3600</v>
      </c>
      <c r="G32" s="6">
        <v>3600</v>
      </c>
      <c r="H32" s="59">
        <f t="shared" si="0"/>
        <v>0</v>
      </c>
      <c r="I32" s="59">
        <f t="shared" si="1"/>
        <v>0</v>
      </c>
      <c r="J32" s="59">
        <f t="shared" si="2"/>
        <v>0</v>
      </c>
      <c r="K32" s="59">
        <f t="shared" si="3"/>
        <v>0</v>
      </c>
      <c r="L32" s="81">
        <f t="shared" si="4"/>
        <v>244800</v>
      </c>
      <c r="M32" s="82" t="s">
        <v>48</v>
      </c>
    </row>
    <row r="33" spans="1:13" s="8" customFormat="1" ht="31.5">
      <c r="A33" s="67" t="s">
        <v>709</v>
      </c>
      <c r="B33" s="68" t="s">
        <v>710</v>
      </c>
      <c r="C33" s="67" t="s">
        <v>711</v>
      </c>
      <c r="D33" s="67" t="s">
        <v>712</v>
      </c>
      <c r="E33" s="10"/>
      <c r="F33" s="7">
        <v>6900</v>
      </c>
      <c r="G33" s="7">
        <v>6900</v>
      </c>
      <c r="H33" s="13">
        <f t="shared" si="0"/>
        <v>0</v>
      </c>
      <c r="I33" s="13"/>
      <c r="J33" s="13">
        <f t="shared" si="2"/>
        <v>0</v>
      </c>
      <c r="K33" s="13"/>
      <c r="L33" s="14"/>
      <c r="M33" s="16" t="s">
        <v>713</v>
      </c>
    </row>
    <row r="34" spans="1:13" s="8" customFormat="1" ht="31.5">
      <c r="A34" s="67" t="s">
        <v>115</v>
      </c>
      <c r="B34" s="67" t="s">
        <v>116</v>
      </c>
      <c r="C34" s="67" t="s">
        <v>117</v>
      </c>
      <c r="D34" s="67" t="s">
        <v>118</v>
      </c>
      <c r="E34" s="10">
        <v>33</v>
      </c>
      <c r="F34" s="7">
        <v>3300</v>
      </c>
      <c r="G34" s="7">
        <v>3300</v>
      </c>
      <c r="H34" s="13">
        <f t="shared" si="0"/>
        <v>0</v>
      </c>
      <c r="I34" s="13">
        <f t="shared" si="1"/>
        <v>0</v>
      </c>
      <c r="J34" s="13">
        <f t="shared" si="2"/>
        <v>0</v>
      </c>
      <c r="K34" s="13">
        <f t="shared" si="3"/>
        <v>0</v>
      </c>
      <c r="L34" s="14">
        <f t="shared" si="4"/>
        <v>108900</v>
      </c>
      <c r="M34" s="16" t="s">
        <v>119</v>
      </c>
    </row>
    <row r="35" spans="1:13" s="8" customFormat="1" ht="31.5">
      <c r="A35" s="67" t="s">
        <v>120</v>
      </c>
      <c r="B35" s="68" t="s">
        <v>121</v>
      </c>
      <c r="C35" s="68" t="s">
        <v>122</v>
      </c>
      <c r="D35" s="67" t="s">
        <v>123</v>
      </c>
      <c r="E35" s="10">
        <v>10</v>
      </c>
      <c r="F35" s="7">
        <v>8600</v>
      </c>
      <c r="G35" s="7">
        <v>8600</v>
      </c>
      <c r="H35" s="13">
        <f t="shared" si="0"/>
        <v>0</v>
      </c>
      <c r="I35" s="13">
        <f t="shared" si="1"/>
        <v>0</v>
      </c>
      <c r="J35" s="13">
        <f t="shared" si="2"/>
        <v>0</v>
      </c>
      <c r="K35" s="13">
        <f t="shared" si="3"/>
        <v>0</v>
      </c>
      <c r="L35" s="14">
        <f t="shared" si="4"/>
        <v>86000</v>
      </c>
      <c r="M35" s="16" t="s">
        <v>124</v>
      </c>
    </row>
    <row r="36" spans="1:13" ht="31.5">
      <c r="A36" s="57" t="s">
        <v>125</v>
      </c>
      <c r="B36" s="61" t="s">
        <v>126</v>
      </c>
      <c r="C36" s="57" t="s">
        <v>127</v>
      </c>
      <c r="D36" s="57" t="s">
        <v>56</v>
      </c>
      <c r="E36" s="58">
        <v>42</v>
      </c>
      <c r="F36" s="6">
        <v>410</v>
      </c>
      <c r="G36" s="6">
        <v>410</v>
      </c>
      <c r="H36" s="59">
        <f t="shared" si="0"/>
        <v>0</v>
      </c>
      <c r="I36" s="59">
        <f t="shared" si="1"/>
        <v>0</v>
      </c>
      <c r="J36" s="59">
        <f t="shared" si="2"/>
        <v>0</v>
      </c>
      <c r="K36" s="59">
        <f t="shared" si="3"/>
        <v>0</v>
      </c>
      <c r="L36" s="81">
        <f t="shared" si="4"/>
        <v>17220</v>
      </c>
      <c r="M36" s="82" t="s">
        <v>29</v>
      </c>
    </row>
    <row r="37" spans="1:13" s="8" customFormat="1" ht="31.5">
      <c r="A37" s="20" t="s">
        <v>128</v>
      </c>
      <c r="B37" s="71" t="s">
        <v>126</v>
      </c>
      <c r="C37" s="20" t="s">
        <v>129</v>
      </c>
      <c r="D37" s="20" t="s">
        <v>118</v>
      </c>
      <c r="E37" s="10">
        <v>30</v>
      </c>
      <c r="F37" s="7">
        <v>50</v>
      </c>
      <c r="G37" s="7">
        <v>50</v>
      </c>
      <c r="H37" s="13">
        <f t="shared" si="0"/>
        <v>0</v>
      </c>
      <c r="I37" s="13">
        <f t="shared" si="1"/>
        <v>0</v>
      </c>
      <c r="J37" s="13">
        <f t="shared" si="2"/>
        <v>0</v>
      </c>
      <c r="K37" s="13">
        <f t="shared" si="3"/>
        <v>0</v>
      </c>
      <c r="L37" s="14">
        <f t="shared" si="4"/>
        <v>1500</v>
      </c>
      <c r="M37" s="16" t="s">
        <v>130</v>
      </c>
    </row>
    <row r="38" spans="1:13" s="8" customFormat="1">
      <c r="A38" s="20" t="s">
        <v>131</v>
      </c>
      <c r="B38" s="20" t="s">
        <v>132</v>
      </c>
      <c r="C38" s="20" t="s">
        <v>133</v>
      </c>
      <c r="D38" s="20" t="s">
        <v>134</v>
      </c>
      <c r="E38" s="10">
        <v>5.8</v>
      </c>
      <c r="F38" s="7">
        <v>300</v>
      </c>
      <c r="G38" s="7">
        <v>300</v>
      </c>
      <c r="H38" s="13">
        <f t="shared" si="0"/>
        <v>0</v>
      </c>
      <c r="I38" s="13">
        <f t="shared" si="1"/>
        <v>0</v>
      </c>
      <c r="J38" s="13">
        <f t="shared" si="2"/>
        <v>0</v>
      </c>
      <c r="K38" s="13">
        <f t="shared" si="3"/>
        <v>0</v>
      </c>
      <c r="L38" s="14">
        <f t="shared" si="4"/>
        <v>1740</v>
      </c>
      <c r="M38" s="16" t="s">
        <v>135</v>
      </c>
    </row>
    <row r="39" spans="1:13" s="8" customFormat="1">
      <c r="A39" s="20" t="s">
        <v>714</v>
      </c>
      <c r="B39" s="20" t="s">
        <v>137</v>
      </c>
      <c r="C39" s="20" t="s">
        <v>715</v>
      </c>
      <c r="D39" s="20"/>
      <c r="E39" s="10"/>
      <c r="F39" s="7">
        <v>2000</v>
      </c>
      <c r="G39" s="7">
        <v>1995</v>
      </c>
      <c r="H39" s="13">
        <f t="shared" si="0"/>
        <v>5</v>
      </c>
      <c r="I39" s="13"/>
      <c r="J39" s="13">
        <f t="shared" si="2"/>
        <v>-5</v>
      </c>
      <c r="K39" s="13"/>
      <c r="L39" s="14"/>
      <c r="M39" s="16" t="s">
        <v>554</v>
      </c>
    </row>
    <row r="40" spans="1:13" s="8" customFormat="1" ht="31.5">
      <c r="A40" s="67" t="s">
        <v>136</v>
      </c>
      <c r="B40" s="67" t="s">
        <v>137</v>
      </c>
      <c r="C40" s="67" t="s">
        <v>138</v>
      </c>
      <c r="D40" s="67" t="s">
        <v>118</v>
      </c>
      <c r="E40" s="9">
        <v>35</v>
      </c>
      <c r="F40" s="7">
        <v>3400</v>
      </c>
      <c r="G40" s="7">
        <v>3400</v>
      </c>
      <c r="H40" s="13">
        <f t="shared" si="0"/>
        <v>0</v>
      </c>
      <c r="I40" s="13">
        <f t="shared" si="1"/>
        <v>0</v>
      </c>
      <c r="J40" s="13">
        <f t="shared" si="2"/>
        <v>0</v>
      </c>
      <c r="K40" s="13">
        <f t="shared" si="3"/>
        <v>0</v>
      </c>
      <c r="L40" s="14">
        <f t="shared" si="4"/>
        <v>119000</v>
      </c>
      <c r="M40" s="16" t="s">
        <v>289</v>
      </c>
    </row>
    <row r="41" spans="1:13" ht="31.5">
      <c r="A41" s="57" t="s">
        <v>140</v>
      </c>
      <c r="B41" s="61" t="s">
        <v>141</v>
      </c>
      <c r="C41" s="57" t="s">
        <v>142</v>
      </c>
      <c r="D41" s="57" t="s">
        <v>123</v>
      </c>
      <c r="E41" s="21">
        <v>10</v>
      </c>
      <c r="F41" s="6">
        <v>200</v>
      </c>
      <c r="G41" s="6">
        <v>200</v>
      </c>
      <c r="H41" s="59">
        <f t="shared" si="0"/>
        <v>0</v>
      </c>
      <c r="I41" s="59">
        <f t="shared" si="1"/>
        <v>0</v>
      </c>
      <c r="J41" s="59">
        <f t="shared" si="2"/>
        <v>0</v>
      </c>
      <c r="K41" s="59">
        <f t="shared" si="3"/>
        <v>0</v>
      </c>
      <c r="L41" s="81">
        <f t="shared" si="4"/>
        <v>2000</v>
      </c>
      <c r="M41" s="82" t="s">
        <v>143</v>
      </c>
    </row>
    <row r="42" spans="1:13" ht="31.5">
      <c r="A42" s="57" t="s">
        <v>144</v>
      </c>
      <c r="B42" s="61" t="s">
        <v>145</v>
      </c>
      <c r="C42" s="57" t="s">
        <v>146</v>
      </c>
      <c r="D42" s="57" t="s">
        <v>118</v>
      </c>
      <c r="E42" s="21">
        <v>5.56</v>
      </c>
      <c r="F42" s="6">
        <v>1300</v>
      </c>
      <c r="G42" s="6">
        <v>1300</v>
      </c>
      <c r="H42" s="59">
        <f t="shared" si="0"/>
        <v>0</v>
      </c>
      <c r="I42" s="59">
        <f t="shared" si="1"/>
        <v>0</v>
      </c>
      <c r="J42" s="59">
        <f t="shared" si="2"/>
        <v>0</v>
      </c>
      <c r="K42" s="59">
        <f t="shared" si="3"/>
        <v>0</v>
      </c>
      <c r="L42" s="81">
        <f t="shared" si="4"/>
        <v>7228</v>
      </c>
      <c r="M42" s="82" t="s">
        <v>139</v>
      </c>
    </row>
    <row r="43" spans="1:13" ht="31.5">
      <c r="A43" s="57" t="s">
        <v>147</v>
      </c>
      <c r="B43" s="57" t="s">
        <v>148</v>
      </c>
      <c r="C43" s="57" t="s">
        <v>149</v>
      </c>
      <c r="D43" s="57" t="s">
        <v>118</v>
      </c>
      <c r="E43" s="21">
        <v>0.75</v>
      </c>
      <c r="F43" s="6">
        <v>1700</v>
      </c>
      <c r="G43" s="6">
        <v>1700</v>
      </c>
      <c r="H43" s="59">
        <f t="shared" si="0"/>
        <v>0</v>
      </c>
      <c r="I43" s="59">
        <f t="shared" si="1"/>
        <v>0</v>
      </c>
      <c r="J43" s="59">
        <f t="shared" si="2"/>
        <v>0</v>
      </c>
      <c r="K43" s="59">
        <f t="shared" si="3"/>
        <v>0</v>
      </c>
      <c r="L43" s="81">
        <f t="shared" si="4"/>
        <v>1275</v>
      </c>
      <c r="M43" s="82" t="s">
        <v>85</v>
      </c>
    </row>
    <row r="44" spans="1:13">
      <c r="A44" s="60" t="s">
        <v>150</v>
      </c>
      <c r="B44" s="60" t="s">
        <v>148</v>
      </c>
      <c r="C44" s="60" t="s">
        <v>151</v>
      </c>
      <c r="D44" s="60" t="s">
        <v>152</v>
      </c>
      <c r="E44" s="21">
        <v>90</v>
      </c>
      <c r="F44" s="6">
        <v>60</v>
      </c>
      <c r="G44" s="6">
        <v>60</v>
      </c>
      <c r="H44" s="59">
        <f t="shared" si="0"/>
        <v>0</v>
      </c>
      <c r="I44" s="59">
        <f t="shared" si="1"/>
        <v>0</v>
      </c>
      <c r="J44" s="59">
        <f t="shared" si="2"/>
        <v>0</v>
      </c>
      <c r="K44" s="59">
        <f t="shared" si="3"/>
        <v>0</v>
      </c>
      <c r="L44" s="81">
        <f t="shared" si="4"/>
        <v>5400</v>
      </c>
      <c r="M44" s="82"/>
    </row>
    <row r="45" spans="1:13" ht="31.5">
      <c r="A45" s="57" t="s">
        <v>153</v>
      </c>
      <c r="B45" s="57" t="s">
        <v>154</v>
      </c>
      <c r="C45" s="57" t="s">
        <v>155</v>
      </c>
      <c r="D45" s="73" t="s">
        <v>118</v>
      </c>
      <c r="E45" s="21">
        <v>8</v>
      </c>
      <c r="F45" s="6">
        <v>300</v>
      </c>
      <c r="G45" s="6">
        <v>300</v>
      </c>
      <c r="H45" s="59">
        <f t="shared" si="0"/>
        <v>0</v>
      </c>
      <c r="I45" s="59">
        <f t="shared" si="1"/>
        <v>0</v>
      </c>
      <c r="J45" s="59">
        <f t="shared" si="2"/>
        <v>0</v>
      </c>
      <c r="K45" s="59">
        <f t="shared" si="3"/>
        <v>0</v>
      </c>
      <c r="L45" s="81">
        <f t="shared" si="4"/>
        <v>2400</v>
      </c>
      <c r="M45" s="82" t="s">
        <v>139</v>
      </c>
    </row>
    <row r="46" spans="1:13" ht="31.5">
      <c r="A46" s="74" t="s">
        <v>156</v>
      </c>
      <c r="B46" s="57" t="s">
        <v>154</v>
      </c>
      <c r="C46" s="74" t="s">
        <v>157</v>
      </c>
      <c r="D46" s="57" t="s">
        <v>158</v>
      </c>
      <c r="E46" s="21">
        <v>1077</v>
      </c>
      <c r="F46" s="6">
        <v>12</v>
      </c>
      <c r="G46" s="6">
        <v>12</v>
      </c>
      <c r="H46" s="59">
        <f t="shared" si="0"/>
        <v>0</v>
      </c>
      <c r="I46" s="59">
        <f t="shared" si="1"/>
        <v>0</v>
      </c>
      <c r="J46" s="59">
        <f t="shared" si="2"/>
        <v>0</v>
      </c>
      <c r="K46" s="59">
        <f t="shared" si="3"/>
        <v>0</v>
      </c>
      <c r="L46" s="81">
        <f t="shared" si="4"/>
        <v>12924</v>
      </c>
      <c r="M46" s="82" t="s">
        <v>159</v>
      </c>
    </row>
    <row r="47" spans="1:13" ht="31.5">
      <c r="A47" s="60" t="s">
        <v>160</v>
      </c>
      <c r="B47" s="60" t="s">
        <v>161</v>
      </c>
      <c r="C47" s="60" t="s">
        <v>162</v>
      </c>
      <c r="D47" s="60" t="s">
        <v>28</v>
      </c>
      <c r="E47" s="58">
        <v>27</v>
      </c>
      <c r="F47" s="6">
        <v>500</v>
      </c>
      <c r="G47" s="6">
        <v>500</v>
      </c>
      <c r="H47" s="59">
        <f t="shared" si="0"/>
        <v>0</v>
      </c>
      <c r="I47" s="59">
        <f t="shared" si="1"/>
        <v>0</v>
      </c>
      <c r="J47" s="59">
        <f t="shared" si="2"/>
        <v>0</v>
      </c>
      <c r="K47" s="59">
        <f t="shared" si="3"/>
        <v>0</v>
      </c>
      <c r="L47" s="81">
        <f t="shared" si="4"/>
        <v>13500</v>
      </c>
      <c r="M47" s="82" t="s">
        <v>24</v>
      </c>
    </row>
    <row r="48" spans="1:13">
      <c r="A48" s="60" t="s">
        <v>163</v>
      </c>
      <c r="B48" s="60" t="s">
        <v>161</v>
      </c>
      <c r="C48" s="60" t="s">
        <v>164</v>
      </c>
      <c r="D48" s="60" t="s">
        <v>165</v>
      </c>
      <c r="E48" s="58">
        <v>280</v>
      </c>
      <c r="F48" s="6">
        <v>200</v>
      </c>
      <c r="G48" s="6">
        <v>200</v>
      </c>
      <c r="H48" s="59">
        <f t="shared" si="0"/>
        <v>0</v>
      </c>
      <c r="I48" s="59">
        <f t="shared" si="1"/>
        <v>0</v>
      </c>
      <c r="J48" s="59">
        <f t="shared" si="2"/>
        <v>0</v>
      </c>
      <c r="K48" s="59">
        <f t="shared" si="3"/>
        <v>0</v>
      </c>
      <c r="L48" s="81">
        <f t="shared" si="4"/>
        <v>56000</v>
      </c>
      <c r="M48" s="82" t="s">
        <v>166</v>
      </c>
    </row>
    <row r="49" spans="1:13" ht="31.5">
      <c r="A49" s="57" t="s">
        <v>167</v>
      </c>
      <c r="B49" s="61" t="s">
        <v>168</v>
      </c>
      <c r="C49" s="57" t="s">
        <v>169</v>
      </c>
      <c r="D49" s="57" t="s">
        <v>28</v>
      </c>
      <c r="E49" s="58">
        <v>1190</v>
      </c>
      <c r="F49" s="6">
        <v>20</v>
      </c>
      <c r="G49" s="6">
        <v>20</v>
      </c>
      <c r="H49" s="59">
        <f t="shared" si="0"/>
        <v>0</v>
      </c>
      <c r="I49" s="59">
        <f t="shared" si="1"/>
        <v>0</v>
      </c>
      <c r="J49" s="59">
        <f t="shared" si="2"/>
        <v>0</v>
      </c>
      <c r="K49" s="59">
        <f t="shared" si="3"/>
        <v>0</v>
      </c>
      <c r="L49" s="81">
        <f t="shared" si="4"/>
        <v>23800</v>
      </c>
      <c r="M49" s="82" t="s">
        <v>139</v>
      </c>
    </row>
    <row r="50" spans="1:13" ht="31.5">
      <c r="A50" s="57" t="s">
        <v>170</v>
      </c>
      <c r="B50" s="61" t="s">
        <v>171</v>
      </c>
      <c r="C50" s="44" t="s">
        <v>172</v>
      </c>
      <c r="D50" s="57" t="s">
        <v>56</v>
      </c>
      <c r="E50" s="58">
        <v>100</v>
      </c>
      <c r="F50" s="6">
        <v>10</v>
      </c>
      <c r="G50" s="6">
        <v>10</v>
      </c>
      <c r="H50" s="59">
        <f t="shared" si="0"/>
        <v>0</v>
      </c>
      <c r="I50" s="59">
        <f t="shared" si="1"/>
        <v>0</v>
      </c>
      <c r="J50" s="59">
        <f t="shared" si="2"/>
        <v>0</v>
      </c>
      <c r="K50" s="59">
        <f t="shared" si="3"/>
        <v>0</v>
      </c>
      <c r="L50" s="81">
        <f t="shared" si="4"/>
        <v>1000</v>
      </c>
      <c r="M50" s="82" t="s">
        <v>52</v>
      </c>
    </row>
    <row r="51" spans="1:13" s="8" customFormat="1">
      <c r="A51" s="20" t="s">
        <v>173</v>
      </c>
      <c r="B51" s="71" t="s">
        <v>174</v>
      </c>
      <c r="C51" s="8" t="s">
        <v>175</v>
      </c>
      <c r="D51" s="20" t="s">
        <v>175</v>
      </c>
      <c r="E51" s="10">
        <v>45</v>
      </c>
      <c r="F51" s="7">
        <v>700</v>
      </c>
      <c r="G51" s="7">
        <v>700</v>
      </c>
      <c r="H51" s="13">
        <f t="shared" si="0"/>
        <v>0</v>
      </c>
      <c r="I51" s="13">
        <f t="shared" si="1"/>
        <v>0</v>
      </c>
      <c r="J51" s="13">
        <f t="shared" si="2"/>
        <v>0</v>
      </c>
      <c r="K51" s="13">
        <f t="shared" si="3"/>
        <v>0</v>
      </c>
      <c r="L51" s="14">
        <f t="shared" si="4"/>
        <v>31500</v>
      </c>
      <c r="M51" s="16" t="s">
        <v>139</v>
      </c>
    </row>
    <row r="52" spans="1:13">
      <c r="A52" s="57" t="s">
        <v>176</v>
      </c>
      <c r="B52" s="61" t="s">
        <v>177</v>
      </c>
      <c r="C52" s="57" t="s">
        <v>178</v>
      </c>
      <c r="D52" s="57" t="s">
        <v>179</v>
      </c>
      <c r="E52" s="58">
        <v>5</v>
      </c>
      <c r="F52" s="6">
        <v>5400</v>
      </c>
      <c r="G52" s="6">
        <v>5400</v>
      </c>
      <c r="H52" s="59">
        <f t="shared" si="0"/>
        <v>0</v>
      </c>
      <c r="I52" s="59">
        <f t="shared" si="1"/>
        <v>0</v>
      </c>
      <c r="J52" s="59">
        <f t="shared" si="2"/>
        <v>0</v>
      </c>
      <c r="K52" s="59">
        <f t="shared" si="3"/>
        <v>0</v>
      </c>
      <c r="L52" s="81">
        <f t="shared" si="4"/>
        <v>27000</v>
      </c>
      <c r="M52" s="82" t="s">
        <v>52</v>
      </c>
    </row>
    <row r="53" spans="1:13" ht="31.5">
      <c r="A53" s="60" t="s">
        <v>180</v>
      </c>
      <c r="B53" s="60" t="s">
        <v>161</v>
      </c>
      <c r="C53" s="60" t="s">
        <v>181</v>
      </c>
      <c r="D53" s="60" t="s">
        <v>118</v>
      </c>
      <c r="E53" s="58">
        <v>2.5</v>
      </c>
      <c r="F53" s="6">
        <v>2700</v>
      </c>
      <c r="G53" s="6">
        <v>2700</v>
      </c>
      <c r="H53" s="59">
        <f t="shared" si="0"/>
        <v>0</v>
      </c>
      <c r="I53" s="59">
        <f t="shared" si="1"/>
        <v>0</v>
      </c>
      <c r="J53" s="59">
        <f t="shared" si="2"/>
        <v>0</v>
      </c>
      <c r="K53" s="59">
        <f t="shared" si="3"/>
        <v>0</v>
      </c>
      <c r="L53" s="81">
        <f t="shared" si="4"/>
        <v>6750</v>
      </c>
      <c r="M53" s="82" t="s">
        <v>29</v>
      </c>
    </row>
    <row r="54" spans="1:13" s="42" customFormat="1">
      <c r="A54" s="69" t="s">
        <v>182</v>
      </c>
      <c r="B54" s="69" t="s">
        <v>183</v>
      </c>
      <c r="C54" s="69" t="s">
        <v>184</v>
      </c>
      <c r="D54" s="69" t="s">
        <v>185</v>
      </c>
      <c r="E54" s="64">
        <v>53</v>
      </c>
      <c r="F54" s="65">
        <v>6300</v>
      </c>
      <c r="G54" s="65">
        <v>6300</v>
      </c>
      <c r="H54" s="66">
        <f t="shared" si="0"/>
        <v>0</v>
      </c>
      <c r="I54" s="66">
        <f t="shared" si="1"/>
        <v>0</v>
      </c>
      <c r="J54" s="66">
        <f t="shared" si="2"/>
        <v>0</v>
      </c>
      <c r="K54" s="66">
        <f t="shared" si="3"/>
        <v>0</v>
      </c>
      <c r="L54" s="83">
        <f t="shared" si="4"/>
        <v>333900</v>
      </c>
      <c r="M54" s="84" t="s">
        <v>19</v>
      </c>
    </row>
    <row r="55" spans="1:13">
      <c r="A55" s="57" t="s">
        <v>186</v>
      </c>
      <c r="B55" s="57" t="s">
        <v>183</v>
      </c>
      <c r="C55" s="57" t="s">
        <v>187</v>
      </c>
      <c r="D55" s="57" t="s">
        <v>185</v>
      </c>
      <c r="E55" s="58">
        <v>42</v>
      </c>
      <c r="F55" s="6">
        <v>0</v>
      </c>
      <c r="G55" s="6">
        <v>0</v>
      </c>
      <c r="H55" s="59">
        <f t="shared" si="0"/>
        <v>0</v>
      </c>
      <c r="I55" s="59">
        <f t="shared" si="1"/>
        <v>0</v>
      </c>
      <c r="J55" s="59">
        <f t="shared" si="2"/>
        <v>0</v>
      </c>
      <c r="K55" s="59">
        <f t="shared" si="3"/>
        <v>0</v>
      </c>
      <c r="L55" s="81">
        <f t="shared" si="4"/>
        <v>0</v>
      </c>
      <c r="M55" s="82" t="s">
        <v>188</v>
      </c>
    </row>
    <row r="56" spans="1:13">
      <c r="A56" s="57"/>
      <c r="B56" s="57" t="s">
        <v>183</v>
      </c>
      <c r="C56" s="57" t="s">
        <v>189</v>
      </c>
      <c r="D56" s="57" t="s">
        <v>190</v>
      </c>
      <c r="E56" s="58">
        <v>1100</v>
      </c>
      <c r="F56" s="6">
        <v>60</v>
      </c>
      <c r="G56" s="6">
        <v>60</v>
      </c>
      <c r="H56" s="59">
        <f t="shared" si="0"/>
        <v>0</v>
      </c>
      <c r="I56" s="59">
        <f t="shared" si="1"/>
        <v>0</v>
      </c>
      <c r="J56" s="59">
        <f t="shared" si="2"/>
        <v>0</v>
      </c>
      <c r="K56" s="59">
        <f t="shared" si="3"/>
        <v>0</v>
      </c>
      <c r="L56" s="81">
        <f t="shared" si="4"/>
        <v>66000</v>
      </c>
      <c r="M56" s="82" t="s">
        <v>139</v>
      </c>
    </row>
    <row r="57" spans="1:13" s="8" customFormat="1" ht="31.5">
      <c r="A57" s="20" t="s">
        <v>191</v>
      </c>
      <c r="B57" s="71" t="s">
        <v>192</v>
      </c>
      <c r="C57" s="20" t="s">
        <v>193</v>
      </c>
      <c r="D57" s="20" t="s">
        <v>118</v>
      </c>
      <c r="E57" s="10">
        <v>0.55000000000000004</v>
      </c>
      <c r="F57" s="7">
        <v>1700</v>
      </c>
      <c r="G57" s="7">
        <v>1700</v>
      </c>
      <c r="H57" s="13">
        <f t="shared" si="0"/>
        <v>0</v>
      </c>
      <c r="I57" s="13">
        <f t="shared" si="1"/>
        <v>0</v>
      </c>
      <c r="J57" s="13">
        <f t="shared" si="2"/>
        <v>0</v>
      </c>
      <c r="K57" s="13">
        <f t="shared" si="3"/>
        <v>0</v>
      </c>
      <c r="L57" s="14">
        <f t="shared" si="4"/>
        <v>935</v>
      </c>
      <c r="M57" s="16" t="s">
        <v>69</v>
      </c>
    </row>
    <row r="58" spans="1:13" ht="31.5">
      <c r="A58" s="57" t="s">
        <v>194</v>
      </c>
      <c r="B58" s="61" t="s">
        <v>195</v>
      </c>
      <c r="C58" s="57" t="s">
        <v>196</v>
      </c>
      <c r="D58" s="57" t="s">
        <v>118</v>
      </c>
      <c r="E58" s="21">
        <v>2</v>
      </c>
      <c r="F58" s="6">
        <v>2700</v>
      </c>
      <c r="G58" s="6">
        <v>2700</v>
      </c>
      <c r="H58" s="59">
        <f t="shared" si="0"/>
        <v>0</v>
      </c>
      <c r="I58" s="59">
        <f t="shared" si="1"/>
        <v>0</v>
      </c>
      <c r="J58" s="59">
        <f t="shared" si="2"/>
        <v>0</v>
      </c>
      <c r="K58" s="59">
        <f t="shared" si="3"/>
        <v>0</v>
      </c>
      <c r="L58" s="81">
        <f t="shared" si="4"/>
        <v>5400</v>
      </c>
      <c r="M58" s="82" t="s">
        <v>197</v>
      </c>
    </row>
    <row r="59" spans="1:13" ht="31.5">
      <c r="A59" s="57" t="s">
        <v>198</v>
      </c>
      <c r="B59" s="61" t="s">
        <v>195</v>
      </c>
      <c r="C59" s="57" t="s">
        <v>199</v>
      </c>
      <c r="D59" s="57" t="s">
        <v>56</v>
      </c>
      <c r="E59" s="21">
        <v>25</v>
      </c>
      <c r="F59" s="6">
        <v>3100</v>
      </c>
      <c r="G59" s="6">
        <v>3100</v>
      </c>
      <c r="H59" s="59">
        <f t="shared" si="0"/>
        <v>0</v>
      </c>
      <c r="I59" s="59">
        <f t="shared" si="1"/>
        <v>0</v>
      </c>
      <c r="J59" s="59">
        <f t="shared" si="2"/>
        <v>0</v>
      </c>
      <c r="K59" s="59">
        <f t="shared" si="3"/>
        <v>0</v>
      </c>
      <c r="L59" s="81">
        <f t="shared" si="4"/>
        <v>77500</v>
      </c>
      <c r="M59" s="82" t="s">
        <v>200</v>
      </c>
    </row>
    <row r="60" spans="1:13" s="8" customFormat="1">
      <c r="A60" s="20" t="s">
        <v>716</v>
      </c>
      <c r="B60" s="71" t="s">
        <v>202</v>
      </c>
      <c r="C60" s="20" t="s">
        <v>717</v>
      </c>
      <c r="D60" s="20" t="s">
        <v>718</v>
      </c>
      <c r="E60" s="9"/>
      <c r="F60" s="7">
        <v>0</v>
      </c>
      <c r="G60" s="7">
        <v>0</v>
      </c>
      <c r="H60" s="13">
        <f t="shared" si="0"/>
        <v>0</v>
      </c>
      <c r="I60" s="13"/>
      <c r="J60" s="13">
        <f t="shared" si="2"/>
        <v>0</v>
      </c>
      <c r="K60" s="13"/>
      <c r="L60" s="14"/>
      <c r="M60" s="16"/>
    </row>
    <row r="61" spans="1:13" s="8" customFormat="1" ht="31.5">
      <c r="A61" s="67" t="s">
        <v>201</v>
      </c>
      <c r="B61" s="68" t="s">
        <v>202</v>
      </c>
      <c r="C61" s="67" t="s">
        <v>203</v>
      </c>
      <c r="D61" s="68" t="s">
        <v>190</v>
      </c>
      <c r="E61" s="9">
        <v>78.099999999999994</v>
      </c>
      <c r="F61" s="7">
        <v>1200</v>
      </c>
      <c r="G61" s="7">
        <v>1200</v>
      </c>
      <c r="H61" s="13">
        <f t="shared" si="0"/>
        <v>0</v>
      </c>
      <c r="I61" s="13">
        <f t="shared" si="1"/>
        <v>0</v>
      </c>
      <c r="J61" s="13">
        <f t="shared" si="2"/>
        <v>0</v>
      </c>
      <c r="K61" s="13">
        <f t="shared" si="3"/>
        <v>0</v>
      </c>
      <c r="L61" s="14">
        <f t="shared" si="4"/>
        <v>93720</v>
      </c>
      <c r="M61" s="16" t="s">
        <v>691</v>
      </c>
    </row>
    <row r="62" spans="1:13">
      <c r="A62" s="57" t="s">
        <v>204</v>
      </c>
      <c r="B62" s="57" t="s">
        <v>205</v>
      </c>
      <c r="C62" s="57" t="s">
        <v>206</v>
      </c>
      <c r="D62" s="61" t="s">
        <v>207</v>
      </c>
      <c r="E62" s="21">
        <v>170.77</v>
      </c>
      <c r="F62" s="6">
        <v>300</v>
      </c>
      <c r="G62" s="6">
        <v>300</v>
      </c>
      <c r="H62" s="59">
        <f t="shared" si="0"/>
        <v>0</v>
      </c>
      <c r="I62" s="59">
        <f t="shared" si="1"/>
        <v>0</v>
      </c>
      <c r="J62" s="59">
        <f t="shared" si="2"/>
        <v>0</v>
      </c>
      <c r="K62" s="59">
        <f t="shared" si="3"/>
        <v>0</v>
      </c>
      <c r="L62" s="81">
        <f t="shared" si="4"/>
        <v>51231</v>
      </c>
      <c r="M62" s="82" t="s">
        <v>188</v>
      </c>
    </row>
    <row r="63" spans="1:13" ht="31.5">
      <c r="A63" s="57" t="s">
        <v>208</v>
      </c>
      <c r="B63" s="57" t="s">
        <v>209</v>
      </c>
      <c r="C63" s="57" t="s">
        <v>210</v>
      </c>
      <c r="D63" s="57" t="s">
        <v>118</v>
      </c>
      <c r="E63" s="21">
        <v>75.41</v>
      </c>
      <c r="F63" s="6">
        <v>300</v>
      </c>
      <c r="G63" s="6">
        <v>300</v>
      </c>
      <c r="H63" s="59">
        <f t="shared" si="0"/>
        <v>0</v>
      </c>
      <c r="I63" s="59">
        <f t="shared" si="1"/>
        <v>0</v>
      </c>
      <c r="J63" s="59">
        <f t="shared" si="2"/>
        <v>0</v>
      </c>
      <c r="K63" s="59">
        <f t="shared" si="3"/>
        <v>0</v>
      </c>
      <c r="L63" s="81">
        <f t="shared" si="4"/>
        <v>22623</v>
      </c>
      <c r="M63" s="82" t="s">
        <v>211</v>
      </c>
    </row>
    <row r="64" spans="1:13" s="8" customFormat="1" ht="31.5">
      <c r="A64" s="20" t="s">
        <v>212</v>
      </c>
      <c r="B64" s="71" t="s">
        <v>213</v>
      </c>
      <c r="C64" s="20" t="s">
        <v>214</v>
      </c>
      <c r="D64" s="20" t="s">
        <v>215</v>
      </c>
      <c r="E64" s="9">
        <v>165</v>
      </c>
      <c r="F64" s="7">
        <v>25</v>
      </c>
      <c r="G64" s="7">
        <v>25</v>
      </c>
      <c r="H64" s="13">
        <f t="shared" si="0"/>
        <v>0</v>
      </c>
      <c r="I64" s="13">
        <f t="shared" si="1"/>
        <v>0</v>
      </c>
      <c r="J64" s="13">
        <f t="shared" si="2"/>
        <v>0</v>
      </c>
      <c r="K64" s="13">
        <f t="shared" si="3"/>
        <v>0</v>
      </c>
      <c r="L64" s="14">
        <f t="shared" si="4"/>
        <v>4125</v>
      </c>
      <c r="M64" s="16" t="s">
        <v>596</v>
      </c>
    </row>
    <row r="65" spans="1:13 16384:16384" s="8" customFormat="1" ht="31.5">
      <c r="A65" s="20" t="s">
        <v>216</v>
      </c>
      <c r="B65" s="71" t="s">
        <v>217</v>
      </c>
      <c r="C65" s="20" t="s">
        <v>218</v>
      </c>
      <c r="D65" s="20" t="s">
        <v>118</v>
      </c>
      <c r="E65" s="9">
        <v>0.75</v>
      </c>
      <c r="F65" s="7">
        <v>5500</v>
      </c>
      <c r="G65" s="7">
        <v>5500</v>
      </c>
      <c r="H65" s="13">
        <f t="shared" si="0"/>
        <v>0</v>
      </c>
      <c r="I65" s="13">
        <f t="shared" si="1"/>
        <v>0</v>
      </c>
      <c r="J65" s="13">
        <f t="shared" si="2"/>
        <v>0</v>
      </c>
      <c r="K65" s="13">
        <f t="shared" si="3"/>
        <v>0</v>
      </c>
      <c r="L65" s="14">
        <f t="shared" si="4"/>
        <v>4125</v>
      </c>
      <c r="M65" s="16" t="s">
        <v>111</v>
      </c>
    </row>
    <row r="66" spans="1:13 16384:16384" s="8" customFormat="1">
      <c r="A66" s="20" t="s">
        <v>219</v>
      </c>
      <c r="B66" s="71" t="s">
        <v>220</v>
      </c>
      <c r="C66" s="15" t="s">
        <v>221</v>
      </c>
      <c r="D66" s="15" t="s">
        <v>222</v>
      </c>
      <c r="E66" s="9">
        <v>10</v>
      </c>
      <c r="F66" s="7">
        <v>1960</v>
      </c>
      <c r="G66" s="7">
        <v>1960</v>
      </c>
      <c r="H66" s="13">
        <f t="shared" si="0"/>
        <v>0</v>
      </c>
      <c r="I66" s="13">
        <f t="shared" si="1"/>
        <v>0</v>
      </c>
      <c r="J66" s="13">
        <f t="shared" si="2"/>
        <v>0</v>
      </c>
      <c r="K66" s="13">
        <f t="shared" si="3"/>
        <v>0</v>
      </c>
      <c r="L66" s="14">
        <f t="shared" si="4"/>
        <v>19600</v>
      </c>
      <c r="M66" s="16" t="s">
        <v>19</v>
      </c>
    </row>
    <row r="67" spans="1:13 16384:16384" ht="31.5">
      <c r="A67" s="57" t="s">
        <v>223</v>
      </c>
      <c r="B67" s="61" t="s">
        <v>224</v>
      </c>
      <c r="C67" s="57" t="s">
        <v>225</v>
      </c>
      <c r="D67" s="57" t="s">
        <v>118</v>
      </c>
      <c r="E67" s="21">
        <v>1.3</v>
      </c>
      <c r="F67" s="6">
        <v>2464</v>
      </c>
      <c r="G67" s="6">
        <v>2464</v>
      </c>
      <c r="H67" s="59">
        <f t="shared" si="0"/>
        <v>0</v>
      </c>
      <c r="I67" s="59">
        <f t="shared" si="1"/>
        <v>0</v>
      </c>
      <c r="J67" s="59">
        <f t="shared" si="2"/>
        <v>0</v>
      </c>
      <c r="K67" s="59">
        <f t="shared" si="3"/>
        <v>0</v>
      </c>
      <c r="L67" s="81">
        <f t="shared" si="4"/>
        <v>3203.2</v>
      </c>
      <c r="M67" s="82" t="s">
        <v>69</v>
      </c>
      <c r="XFD67" s="87">
        <f>SUM(E67:XFC67)</f>
        <v>8132.5</v>
      </c>
    </row>
    <row r="68" spans="1:13 16384:16384" s="8" customFormat="1">
      <c r="A68" s="20" t="s">
        <v>226</v>
      </c>
      <c r="B68" s="20" t="s">
        <v>719</v>
      </c>
      <c r="C68" s="20" t="s">
        <v>228</v>
      </c>
      <c r="D68" s="71" t="s">
        <v>152</v>
      </c>
      <c r="E68" s="9">
        <v>445</v>
      </c>
      <c r="F68" s="7">
        <v>1350</v>
      </c>
      <c r="G68" s="7">
        <v>1350</v>
      </c>
      <c r="H68" s="13">
        <f t="shared" si="0"/>
        <v>0</v>
      </c>
      <c r="I68" s="13">
        <f t="shared" si="1"/>
        <v>0</v>
      </c>
      <c r="J68" s="13">
        <f t="shared" si="2"/>
        <v>0</v>
      </c>
      <c r="K68" s="13">
        <f t="shared" si="3"/>
        <v>0</v>
      </c>
      <c r="L68" s="14">
        <f t="shared" si="4"/>
        <v>600750</v>
      </c>
      <c r="M68" s="16" t="s">
        <v>52</v>
      </c>
    </row>
    <row r="69" spans="1:13 16384:16384" s="8" customFormat="1" ht="31.5">
      <c r="A69" s="20" t="s">
        <v>229</v>
      </c>
      <c r="B69" s="71" t="s">
        <v>230</v>
      </c>
      <c r="C69" s="20" t="s">
        <v>133</v>
      </c>
      <c r="D69" s="20" t="s">
        <v>118</v>
      </c>
      <c r="E69" s="9">
        <v>1.24</v>
      </c>
      <c r="F69" s="7"/>
      <c r="G69" s="7">
        <v>1000</v>
      </c>
      <c r="H69" s="13">
        <f t="shared" si="0"/>
        <v>-1000</v>
      </c>
      <c r="I69" s="13">
        <f t="shared" si="1"/>
        <v>-1240</v>
      </c>
      <c r="J69" s="13">
        <f t="shared" si="2"/>
        <v>1000</v>
      </c>
      <c r="K69" s="13">
        <f t="shared" si="3"/>
        <v>1240</v>
      </c>
      <c r="L69" s="14">
        <f t="shared" si="4"/>
        <v>1240</v>
      </c>
      <c r="M69" s="16" t="s">
        <v>197</v>
      </c>
    </row>
    <row r="70" spans="1:13 16384:16384">
      <c r="A70" s="57" t="s">
        <v>231</v>
      </c>
      <c r="B70" s="61" t="s">
        <v>230</v>
      </c>
      <c r="C70" s="57" t="s">
        <v>232</v>
      </c>
      <c r="D70" s="57" t="s">
        <v>233</v>
      </c>
      <c r="E70" s="21">
        <v>9</v>
      </c>
      <c r="F70" s="6">
        <v>900</v>
      </c>
      <c r="G70" s="6">
        <v>900</v>
      </c>
      <c r="H70" s="59">
        <f t="shared" si="0"/>
        <v>0</v>
      </c>
      <c r="I70" s="59">
        <f t="shared" si="1"/>
        <v>0</v>
      </c>
      <c r="J70" s="59">
        <f t="shared" si="2"/>
        <v>0</v>
      </c>
      <c r="K70" s="59">
        <f t="shared" si="3"/>
        <v>0</v>
      </c>
      <c r="L70" s="81">
        <f t="shared" si="4"/>
        <v>8100</v>
      </c>
      <c r="M70" s="82" t="s">
        <v>29</v>
      </c>
    </row>
    <row r="71" spans="1:13 16384:16384" ht="31.5">
      <c r="A71" s="60" t="s">
        <v>235</v>
      </c>
      <c r="B71" s="60" t="s">
        <v>720</v>
      </c>
      <c r="C71" s="60" t="s">
        <v>237</v>
      </c>
      <c r="D71" s="60" t="s">
        <v>118</v>
      </c>
      <c r="E71" s="21">
        <v>3.5</v>
      </c>
      <c r="F71" s="6">
        <v>6500</v>
      </c>
      <c r="G71" s="6">
        <v>6500</v>
      </c>
      <c r="H71" s="59">
        <f t="shared" si="0"/>
        <v>0</v>
      </c>
      <c r="I71" s="59">
        <f t="shared" si="1"/>
        <v>0</v>
      </c>
      <c r="J71" s="59">
        <f t="shared" si="2"/>
        <v>0</v>
      </c>
      <c r="K71" s="59">
        <f t="shared" si="3"/>
        <v>0</v>
      </c>
      <c r="L71" s="81">
        <f t="shared" si="4"/>
        <v>22750</v>
      </c>
      <c r="M71" s="82" t="s">
        <v>119</v>
      </c>
    </row>
    <row r="72" spans="1:13 16384:16384" s="8" customFormat="1" ht="47.25">
      <c r="A72" s="67"/>
      <c r="B72" s="67" t="s">
        <v>239</v>
      </c>
      <c r="C72" s="67" t="s">
        <v>240</v>
      </c>
      <c r="D72" s="67" t="s">
        <v>690</v>
      </c>
      <c r="E72" s="9"/>
      <c r="F72" s="7">
        <v>780</v>
      </c>
      <c r="G72" s="7">
        <v>780</v>
      </c>
      <c r="H72" s="13">
        <f t="shared" si="0"/>
        <v>0</v>
      </c>
      <c r="I72" s="13"/>
      <c r="J72" s="13">
        <f t="shared" si="2"/>
        <v>0</v>
      </c>
      <c r="K72" s="13"/>
      <c r="L72" s="14"/>
      <c r="M72" s="16" t="s">
        <v>721</v>
      </c>
    </row>
    <row r="73" spans="1:13 16384:16384" s="8" customFormat="1" ht="47.25">
      <c r="A73" s="67" t="s">
        <v>238</v>
      </c>
      <c r="B73" s="67" t="s">
        <v>239</v>
      </c>
      <c r="C73" s="67" t="s">
        <v>240</v>
      </c>
      <c r="D73" s="67" t="s">
        <v>241</v>
      </c>
      <c r="E73" s="9">
        <v>420</v>
      </c>
      <c r="F73" s="7">
        <v>60</v>
      </c>
      <c r="G73" s="7">
        <v>60</v>
      </c>
      <c r="H73" s="13">
        <f t="shared" si="0"/>
        <v>0</v>
      </c>
      <c r="I73" s="13">
        <f t="shared" si="1"/>
        <v>0</v>
      </c>
      <c r="J73" s="13">
        <f t="shared" si="2"/>
        <v>0</v>
      </c>
      <c r="K73" s="13">
        <f t="shared" si="3"/>
        <v>0</v>
      </c>
      <c r="L73" s="14">
        <f t="shared" si="4"/>
        <v>25200</v>
      </c>
      <c r="M73" s="16" t="s">
        <v>312</v>
      </c>
    </row>
    <row r="74" spans="1:13 16384:16384" ht="47.25">
      <c r="A74" s="57" t="s">
        <v>242</v>
      </c>
      <c r="B74" s="57" t="s">
        <v>239</v>
      </c>
      <c r="C74" s="57" t="s">
        <v>240</v>
      </c>
      <c r="D74" s="57" t="s">
        <v>243</v>
      </c>
      <c r="E74" s="21">
        <v>548.37</v>
      </c>
      <c r="F74" s="6">
        <v>730</v>
      </c>
      <c r="G74" s="6">
        <v>730</v>
      </c>
      <c r="H74" s="59">
        <f t="shared" si="0"/>
        <v>0</v>
      </c>
      <c r="I74" s="59">
        <f t="shared" si="1"/>
        <v>0</v>
      </c>
      <c r="J74" s="59">
        <f t="shared" si="2"/>
        <v>0</v>
      </c>
      <c r="K74" s="59">
        <f t="shared" si="3"/>
        <v>0</v>
      </c>
      <c r="L74" s="81">
        <f t="shared" si="4"/>
        <v>400310.1</v>
      </c>
      <c r="M74" s="82">
        <v>46388</v>
      </c>
    </row>
    <row r="75" spans="1:13 16384:16384" ht="31.5">
      <c r="A75" s="57" t="s">
        <v>244</v>
      </c>
      <c r="B75" s="61" t="s">
        <v>245</v>
      </c>
      <c r="C75" s="57" t="s">
        <v>246</v>
      </c>
      <c r="D75" s="61" t="s">
        <v>247</v>
      </c>
      <c r="E75" s="21">
        <v>395</v>
      </c>
      <c r="F75" s="6">
        <v>520</v>
      </c>
      <c r="G75" s="6">
        <v>520</v>
      </c>
      <c r="H75" s="59">
        <f t="shared" si="0"/>
        <v>0</v>
      </c>
      <c r="I75" s="59">
        <f t="shared" si="1"/>
        <v>0</v>
      </c>
      <c r="J75" s="59">
        <f t="shared" si="2"/>
        <v>0</v>
      </c>
      <c r="K75" s="59">
        <f t="shared" si="3"/>
        <v>0</v>
      </c>
      <c r="L75" s="81">
        <f t="shared" si="4"/>
        <v>205400</v>
      </c>
      <c r="M75" s="82" t="s">
        <v>69</v>
      </c>
    </row>
    <row r="76" spans="1:13 16384:16384" s="8" customFormat="1">
      <c r="A76" s="20" t="s">
        <v>248</v>
      </c>
      <c r="B76" s="20" t="s">
        <v>249</v>
      </c>
      <c r="C76" s="20" t="s">
        <v>240</v>
      </c>
      <c r="D76" s="20" t="s">
        <v>250</v>
      </c>
      <c r="E76" s="9">
        <v>59</v>
      </c>
      <c r="F76" s="7">
        <v>800</v>
      </c>
      <c r="G76" s="7">
        <v>800</v>
      </c>
      <c r="H76" s="13">
        <f t="shared" ref="H76:H147" si="5">F76-G76</f>
        <v>0</v>
      </c>
      <c r="I76" s="13">
        <f t="shared" ref="I76:I147" si="6">E76*H76</f>
        <v>0</v>
      </c>
      <c r="J76" s="13">
        <f t="shared" ref="J76:J147" si="7">G76-F76</f>
        <v>0</v>
      </c>
      <c r="K76" s="13">
        <f t="shared" ref="K76:K147" si="8">E76*J76</f>
        <v>0</v>
      </c>
      <c r="L76" s="14">
        <f t="shared" ref="L76:L147" si="9">E76*G76</f>
        <v>47200</v>
      </c>
      <c r="M76" s="16" t="s">
        <v>139</v>
      </c>
    </row>
    <row r="77" spans="1:13 16384:16384" s="8" customFormat="1" ht="31.5">
      <c r="A77" s="20" t="s">
        <v>251</v>
      </c>
      <c r="B77" s="71" t="s">
        <v>252</v>
      </c>
      <c r="C77" s="20" t="s">
        <v>253</v>
      </c>
      <c r="D77" s="20" t="s">
        <v>84</v>
      </c>
      <c r="E77" s="9">
        <v>320</v>
      </c>
      <c r="F77" s="7">
        <v>90</v>
      </c>
      <c r="G77" s="7">
        <v>90</v>
      </c>
      <c r="H77" s="13">
        <f t="shared" si="5"/>
        <v>0</v>
      </c>
      <c r="I77" s="13">
        <f t="shared" si="6"/>
        <v>0</v>
      </c>
      <c r="J77" s="13">
        <f t="shared" si="7"/>
        <v>0</v>
      </c>
      <c r="K77" s="13">
        <f t="shared" si="8"/>
        <v>0</v>
      </c>
      <c r="L77" s="14">
        <f t="shared" si="9"/>
        <v>28800</v>
      </c>
      <c r="M77" s="16" t="s">
        <v>708</v>
      </c>
    </row>
    <row r="78" spans="1:13 16384:16384">
      <c r="A78" s="57" t="s">
        <v>254</v>
      </c>
      <c r="B78" s="61" t="s">
        <v>255</v>
      </c>
      <c r="C78" s="57" t="s">
        <v>256</v>
      </c>
      <c r="D78" s="57" t="s">
        <v>257</v>
      </c>
      <c r="E78" s="21">
        <v>446</v>
      </c>
      <c r="F78" s="6">
        <v>226</v>
      </c>
      <c r="G78" s="6">
        <v>226</v>
      </c>
      <c r="H78" s="59">
        <f t="shared" si="5"/>
        <v>0</v>
      </c>
      <c r="I78" s="59">
        <f t="shared" si="6"/>
        <v>0</v>
      </c>
      <c r="J78" s="59">
        <f t="shared" si="7"/>
        <v>0</v>
      </c>
      <c r="K78" s="59">
        <f t="shared" si="8"/>
        <v>0</v>
      </c>
      <c r="L78" s="81">
        <f t="shared" si="9"/>
        <v>100796</v>
      </c>
      <c r="M78" s="82" t="s">
        <v>19</v>
      </c>
    </row>
    <row r="79" spans="1:13 16384:16384" ht="31.5">
      <c r="A79" s="57" t="s">
        <v>258</v>
      </c>
      <c r="B79" s="57" t="s">
        <v>259</v>
      </c>
      <c r="C79" s="57" t="s">
        <v>260</v>
      </c>
      <c r="D79" s="57" t="s">
        <v>118</v>
      </c>
      <c r="E79" s="21">
        <v>0.48</v>
      </c>
      <c r="F79" s="6">
        <v>3000</v>
      </c>
      <c r="G79" s="6">
        <v>3000</v>
      </c>
      <c r="H79" s="59">
        <f t="shared" si="5"/>
        <v>0</v>
      </c>
      <c r="I79" s="59">
        <f t="shared" si="6"/>
        <v>0</v>
      </c>
      <c r="J79" s="59">
        <f t="shared" si="7"/>
        <v>0</v>
      </c>
      <c r="K79" s="59">
        <f t="shared" si="8"/>
        <v>0</v>
      </c>
      <c r="L79" s="81">
        <f t="shared" si="9"/>
        <v>1440</v>
      </c>
      <c r="M79" s="82" t="s">
        <v>111</v>
      </c>
    </row>
    <row r="80" spans="1:13 16384:16384" ht="31.5">
      <c r="A80" s="57" t="s">
        <v>261</v>
      </c>
      <c r="B80" s="57" t="s">
        <v>262</v>
      </c>
      <c r="C80" s="57" t="s">
        <v>263</v>
      </c>
      <c r="D80" s="57" t="s">
        <v>118</v>
      </c>
      <c r="E80" s="21">
        <v>5.2</v>
      </c>
      <c r="F80" s="6">
        <v>112</v>
      </c>
      <c r="G80" s="6">
        <v>112</v>
      </c>
      <c r="H80" s="59">
        <f t="shared" si="5"/>
        <v>0</v>
      </c>
      <c r="I80" s="59">
        <f t="shared" si="6"/>
        <v>0</v>
      </c>
      <c r="J80" s="59">
        <f t="shared" si="7"/>
        <v>0</v>
      </c>
      <c r="K80" s="59">
        <f t="shared" si="8"/>
        <v>0</v>
      </c>
      <c r="L80" s="81">
        <f t="shared" si="9"/>
        <v>582.4</v>
      </c>
      <c r="M80" s="82" t="s">
        <v>119</v>
      </c>
    </row>
    <row r="81" spans="1:13" s="8" customFormat="1" ht="31.5">
      <c r="A81" s="67" t="s">
        <v>264</v>
      </c>
      <c r="B81" s="68" t="s">
        <v>265</v>
      </c>
      <c r="C81" s="67" t="s">
        <v>266</v>
      </c>
      <c r="D81" s="67" t="s">
        <v>61</v>
      </c>
      <c r="E81" s="9">
        <v>1850</v>
      </c>
      <c r="F81" s="7">
        <v>110</v>
      </c>
      <c r="G81" s="7">
        <v>110</v>
      </c>
      <c r="H81" s="13">
        <f t="shared" si="5"/>
        <v>0</v>
      </c>
      <c r="I81" s="13">
        <f t="shared" si="6"/>
        <v>0</v>
      </c>
      <c r="J81" s="13">
        <f t="shared" si="7"/>
        <v>0</v>
      </c>
      <c r="K81" s="13">
        <f t="shared" si="8"/>
        <v>0</v>
      </c>
      <c r="L81" s="14">
        <f t="shared" si="9"/>
        <v>203500</v>
      </c>
      <c r="M81" s="16" t="s">
        <v>166</v>
      </c>
    </row>
    <row r="82" spans="1:13" s="8" customFormat="1" ht="31.5">
      <c r="A82" s="67" t="s">
        <v>722</v>
      </c>
      <c r="B82" s="68" t="s">
        <v>723</v>
      </c>
      <c r="C82" s="67" t="s">
        <v>724</v>
      </c>
      <c r="D82" s="85" t="s">
        <v>118</v>
      </c>
      <c r="E82" s="9"/>
      <c r="F82" s="7">
        <v>3332</v>
      </c>
      <c r="G82" s="7">
        <v>3332</v>
      </c>
      <c r="H82" s="13">
        <f t="shared" si="5"/>
        <v>0</v>
      </c>
      <c r="I82" s="13"/>
      <c r="J82" s="13">
        <f t="shared" si="7"/>
        <v>0</v>
      </c>
      <c r="K82" s="13"/>
      <c r="L82" s="14"/>
      <c r="M82" s="16"/>
    </row>
    <row r="83" spans="1:13" s="8" customFormat="1">
      <c r="A83" s="67" t="s">
        <v>725</v>
      </c>
      <c r="B83" s="68" t="s">
        <v>726</v>
      </c>
      <c r="C83" s="67" t="s">
        <v>727</v>
      </c>
      <c r="D83" s="86" t="s">
        <v>118</v>
      </c>
      <c r="E83" s="9"/>
      <c r="F83" s="7">
        <v>1512</v>
      </c>
      <c r="G83" s="7">
        <v>1512</v>
      </c>
      <c r="H83" s="13">
        <f t="shared" si="5"/>
        <v>0</v>
      </c>
      <c r="I83" s="13"/>
      <c r="J83" s="13">
        <f t="shared" si="7"/>
        <v>0</v>
      </c>
      <c r="K83" s="13"/>
      <c r="L83" s="14"/>
      <c r="M83" s="16"/>
    </row>
    <row r="84" spans="1:13">
      <c r="A84" s="60" t="s">
        <v>267</v>
      </c>
      <c r="B84" s="60" t="s">
        <v>268</v>
      </c>
      <c r="C84" s="60" t="s">
        <v>133</v>
      </c>
      <c r="D84" s="60" t="s">
        <v>185</v>
      </c>
      <c r="E84" s="21">
        <v>2.2000000000000002</v>
      </c>
      <c r="F84" s="6">
        <v>900</v>
      </c>
      <c r="G84" s="6">
        <v>900</v>
      </c>
      <c r="H84" s="59">
        <f t="shared" si="5"/>
        <v>0</v>
      </c>
      <c r="I84" s="59">
        <f t="shared" si="6"/>
        <v>0</v>
      </c>
      <c r="J84" s="59">
        <f t="shared" si="7"/>
        <v>0</v>
      </c>
      <c r="K84" s="59">
        <f t="shared" si="8"/>
        <v>0</v>
      </c>
      <c r="L84" s="81">
        <f t="shared" si="9"/>
        <v>1980</v>
      </c>
      <c r="M84" s="82" t="s">
        <v>78</v>
      </c>
    </row>
    <row r="85" spans="1:13" ht="31.5">
      <c r="A85" s="60" t="s">
        <v>269</v>
      </c>
      <c r="B85" s="60" t="s">
        <v>270</v>
      </c>
      <c r="C85" s="60" t="s">
        <v>271</v>
      </c>
      <c r="D85" s="60" t="s">
        <v>185</v>
      </c>
      <c r="E85" s="21">
        <v>8</v>
      </c>
      <c r="F85" s="6">
        <v>3000</v>
      </c>
      <c r="G85" s="6">
        <v>3000</v>
      </c>
      <c r="H85" s="59">
        <f t="shared" si="5"/>
        <v>0</v>
      </c>
      <c r="I85" s="59">
        <f t="shared" si="6"/>
        <v>0</v>
      </c>
      <c r="J85" s="59">
        <f t="shared" si="7"/>
        <v>0</v>
      </c>
      <c r="K85" s="59">
        <f t="shared" si="8"/>
        <v>0</v>
      </c>
      <c r="L85" s="81">
        <f t="shared" si="9"/>
        <v>24000</v>
      </c>
      <c r="M85" s="82" t="s">
        <v>48</v>
      </c>
    </row>
    <row r="86" spans="1:13" s="8" customFormat="1">
      <c r="A86" s="67" t="s">
        <v>728</v>
      </c>
      <c r="B86" s="67" t="s">
        <v>729</v>
      </c>
      <c r="C86" s="67" t="s">
        <v>730</v>
      </c>
      <c r="D86" s="67" t="s">
        <v>731</v>
      </c>
      <c r="E86" s="9"/>
      <c r="F86" s="7">
        <v>2400</v>
      </c>
      <c r="G86" s="7">
        <v>2400</v>
      </c>
      <c r="H86" s="13">
        <f t="shared" si="5"/>
        <v>0</v>
      </c>
      <c r="I86" s="13"/>
      <c r="J86" s="13">
        <f t="shared" si="7"/>
        <v>0</v>
      </c>
      <c r="K86" s="13"/>
      <c r="L86" s="14"/>
      <c r="M86" s="16" t="s">
        <v>732</v>
      </c>
    </row>
    <row r="87" spans="1:13" s="8" customFormat="1" ht="31.5">
      <c r="A87" s="20" t="s">
        <v>272</v>
      </c>
      <c r="B87" s="20" t="s">
        <v>273</v>
      </c>
      <c r="C87" s="20" t="s">
        <v>274</v>
      </c>
      <c r="D87" s="20" t="s">
        <v>118</v>
      </c>
      <c r="E87" s="10">
        <v>33</v>
      </c>
      <c r="F87" s="7">
        <v>480</v>
      </c>
      <c r="G87" s="7">
        <v>480</v>
      </c>
      <c r="H87" s="13">
        <f t="shared" si="5"/>
        <v>0</v>
      </c>
      <c r="I87" s="13">
        <f t="shared" si="6"/>
        <v>0</v>
      </c>
      <c r="J87" s="13">
        <f t="shared" si="7"/>
        <v>0</v>
      </c>
      <c r="K87" s="13">
        <f t="shared" si="8"/>
        <v>0</v>
      </c>
      <c r="L87" s="14">
        <f t="shared" si="9"/>
        <v>15840</v>
      </c>
      <c r="M87" s="16" t="s">
        <v>159</v>
      </c>
    </row>
    <row r="88" spans="1:13" s="8" customFormat="1" ht="63">
      <c r="A88" s="20" t="s">
        <v>275</v>
      </c>
      <c r="B88" s="20" t="s">
        <v>276</v>
      </c>
      <c r="C88" s="20" t="s">
        <v>277</v>
      </c>
      <c r="D88" s="71" t="s">
        <v>190</v>
      </c>
      <c r="E88" s="10">
        <v>95</v>
      </c>
      <c r="F88" s="7">
        <v>1000</v>
      </c>
      <c r="G88" s="7">
        <v>1000</v>
      </c>
      <c r="H88" s="13">
        <f t="shared" si="5"/>
        <v>0</v>
      </c>
      <c r="I88" s="13">
        <f t="shared" si="6"/>
        <v>0</v>
      </c>
      <c r="J88" s="13">
        <f t="shared" si="7"/>
        <v>0</v>
      </c>
      <c r="K88" s="13">
        <f t="shared" si="8"/>
        <v>0</v>
      </c>
      <c r="L88" s="14">
        <f t="shared" si="9"/>
        <v>95000</v>
      </c>
      <c r="M88" s="16" t="s">
        <v>24</v>
      </c>
    </row>
    <row r="89" spans="1:13" ht="47.25">
      <c r="A89" s="60" t="s">
        <v>278</v>
      </c>
      <c r="B89" s="60" t="s">
        <v>276</v>
      </c>
      <c r="C89" s="60" t="s">
        <v>279</v>
      </c>
      <c r="D89" s="60" t="s">
        <v>118</v>
      </c>
      <c r="E89" s="58">
        <v>12</v>
      </c>
      <c r="F89" s="6">
        <v>4400</v>
      </c>
      <c r="G89" s="6">
        <v>4400</v>
      </c>
      <c r="H89" s="59">
        <f t="shared" si="5"/>
        <v>0</v>
      </c>
      <c r="I89" s="59">
        <f t="shared" si="6"/>
        <v>0</v>
      </c>
      <c r="J89" s="59">
        <f t="shared" si="7"/>
        <v>0</v>
      </c>
      <c r="K89" s="59">
        <f t="shared" si="8"/>
        <v>0</v>
      </c>
      <c r="L89" s="81">
        <f t="shared" si="9"/>
        <v>52800</v>
      </c>
      <c r="M89" s="82" t="s">
        <v>159</v>
      </c>
    </row>
    <row r="90" spans="1:13" ht="47.25">
      <c r="A90" s="60" t="s">
        <v>280</v>
      </c>
      <c r="B90" s="60" t="s">
        <v>276</v>
      </c>
      <c r="C90" s="60" t="s">
        <v>281</v>
      </c>
      <c r="D90" s="72" t="s">
        <v>185</v>
      </c>
      <c r="E90" s="58">
        <v>11</v>
      </c>
      <c r="F90" s="6">
        <v>2500</v>
      </c>
      <c r="G90" s="6">
        <v>2500</v>
      </c>
      <c r="H90" s="59">
        <f t="shared" si="5"/>
        <v>0</v>
      </c>
      <c r="I90" s="59">
        <f t="shared" si="6"/>
        <v>0</v>
      </c>
      <c r="J90" s="59">
        <f t="shared" si="7"/>
        <v>0</v>
      </c>
      <c r="K90" s="59">
        <f t="shared" si="8"/>
        <v>0</v>
      </c>
      <c r="L90" s="81">
        <f t="shared" si="9"/>
        <v>27500</v>
      </c>
      <c r="M90" s="82" t="s">
        <v>159</v>
      </c>
    </row>
    <row r="91" spans="1:13" ht="31.5">
      <c r="A91" s="57" t="s">
        <v>282</v>
      </c>
      <c r="B91" s="61" t="s">
        <v>283</v>
      </c>
      <c r="C91" s="57" t="s">
        <v>284</v>
      </c>
      <c r="D91" s="57" t="s">
        <v>84</v>
      </c>
      <c r="E91" s="58">
        <v>140</v>
      </c>
      <c r="F91" s="6">
        <v>220</v>
      </c>
      <c r="G91" s="6">
        <v>220</v>
      </c>
      <c r="H91" s="59">
        <f t="shared" si="5"/>
        <v>0</v>
      </c>
      <c r="I91" s="59">
        <f t="shared" si="6"/>
        <v>0</v>
      </c>
      <c r="J91" s="59">
        <f t="shared" si="7"/>
        <v>0</v>
      </c>
      <c r="K91" s="59">
        <f t="shared" si="8"/>
        <v>0</v>
      </c>
      <c r="L91" s="81">
        <f t="shared" si="9"/>
        <v>30800</v>
      </c>
      <c r="M91" s="82" t="s">
        <v>188</v>
      </c>
    </row>
    <row r="92" spans="1:13" s="8" customFormat="1" ht="31.5">
      <c r="A92" s="20" t="s">
        <v>285</v>
      </c>
      <c r="B92" s="20" t="s">
        <v>286</v>
      </c>
      <c r="C92" s="20" t="s">
        <v>287</v>
      </c>
      <c r="D92" s="20" t="s">
        <v>288</v>
      </c>
      <c r="E92" s="10">
        <v>23</v>
      </c>
      <c r="F92" s="7">
        <v>660</v>
      </c>
      <c r="G92" s="7">
        <v>660</v>
      </c>
      <c r="H92" s="13">
        <f t="shared" si="5"/>
        <v>0</v>
      </c>
      <c r="I92" s="13">
        <f t="shared" si="6"/>
        <v>0</v>
      </c>
      <c r="J92" s="13">
        <f t="shared" si="7"/>
        <v>0</v>
      </c>
      <c r="K92" s="13">
        <f t="shared" si="8"/>
        <v>0</v>
      </c>
      <c r="L92" s="14">
        <f t="shared" si="9"/>
        <v>15180</v>
      </c>
      <c r="M92" s="16" t="s">
        <v>289</v>
      </c>
    </row>
    <row r="93" spans="1:13" ht="31.5">
      <c r="A93" s="57" t="s">
        <v>290</v>
      </c>
      <c r="B93" s="57" t="s">
        <v>286</v>
      </c>
      <c r="C93" s="57" t="s">
        <v>291</v>
      </c>
      <c r="D93" s="57" t="s">
        <v>292</v>
      </c>
      <c r="E93" s="58">
        <v>89</v>
      </c>
      <c r="F93" s="6">
        <v>285</v>
      </c>
      <c r="G93" s="6">
        <v>285</v>
      </c>
      <c r="H93" s="59">
        <f t="shared" si="5"/>
        <v>0</v>
      </c>
      <c r="I93" s="59">
        <f t="shared" si="6"/>
        <v>0</v>
      </c>
      <c r="J93" s="59">
        <f t="shared" si="7"/>
        <v>0</v>
      </c>
      <c r="K93" s="59">
        <f t="shared" si="8"/>
        <v>0</v>
      </c>
      <c r="L93" s="81">
        <f t="shared" si="9"/>
        <v>25365</v>
      </c>
      <c r="M93" s="82" t="s">
        <v>293</v>
      </c>
    </row>
    <row r="94" spans="1:13" s="8" customFormat="1" ht="47.25">
      <c r="A94" s="67" t="s">
        <v>294</v>
      </c>
      <c r="B94" s="67" t="s">
        <v>295</v>
      </c>
      <c r="C94" s="67" t="s">
        <v>296</v>
      </c>
      <c r="D94" s="68" t="s">
        <v>190</v>
      </c>
      <c r="E94" s="10">
        <v>32</v>
      </c>
      <c r="F94" s="7">
        <v>100</v>
      </c>
      <c r="G94" s="7">
        <v>100</v>
      </c>
      <c r="H94" s="13">
        <f t="shared" si="5"/>
        <v>0</v>
      </c>
      <c r="I94" s="13">
        <f t="shared" si="6"/>
        <v>0</v>
      </c>
      <c r="J94" s="13">
        <f t="shared" si="7"/>
        <v>0</v>
      </c>
      <c r="K94" s="13">
        <f t="shared" si="8"/>
        <v>0</v>
      </c>
      <c r="L94" s="14">
        <f t="shared" si="9"/>
        <v>3200</v>
      </c>
      <c r="M94" s="16" t="s">
        <v>733</v>
      </c>
    </row>
    <row r="95" spans="1:13" s="8" customFormat="1" ht="31.5">
      <c r="A95" s="20" t="s">
        <v>297</v>
      </c>
      <c r="B95" s="71" t="s">
        <v>298</v>
      </c>
      <c r="C95" s="20" t="s">
        <v>299</v>
      </c>
      <c r="D95" s="71" t="s">
        <v>190</v>
      </c>
      <c r="E95" s="10">
        <v>95.86</v>
      </c>
      <c r="F95" s="7">
        <v>110</v>
      </c>
      <c r="G95" s="7">
        <v>110</v>
      </c>
      <c r="H95" s="13">
        <f t="shared" si="5"/>
        <v>0</v>
      </c>
      <c r="I95" s="13">
        <f t="shared" si="6"/>
        <v>0</v>
      </c>
      <c r="J95" s="13">
        <f t="shared" si="7"/>
        <v>0</v>
      </c>
      <c r="K95" s="13">
        <f t="shared" si="8"/>
        <v>0</v>
      </c>
      <c r="L95" s="14">
        <f t="shared" si="9"/>
        <v>10544.6</v>
      </c>
      <c r="M95" s="16" t="s">
        <v>197</v>
      </c>
    </row>
    <row r="96" spans="1:13" ht="31.5">
      <c r="A96" s="60" t="s">
        <v>300</v>
      </c>
      <c r="B96" s="72" t="s">
        <v>301</v>
      </c>
      <c r="C96" s="60" t="s">
        <v>302</v>
      </c>
      <c r="D96" s="72" t="s">
        <v>190</v>
      </c>
      <c r="E96" s="58">
        <v>34</v>
      </c>
      <c r="F96" s="6">
        <v>3650</v>
      </c>
      <c r="G96" s="6">
        <v>3650</v>
      </c>
      <c r="H96" s="59">
        <f t="shared" si="5"/>
        <v>0</v>
      </c>
      <c r="I96" s="59">
        <f t="shared" si="6"/>
        <v>0</v>
      </c>
      <c r="J96" s="59">
        <f t="shared" si="7"/>
        <v>0</v>
      </c>
      <c r="K96" s="59">
        <f t="shared" si="8"/>
        <v>0</v>
      </c>
      <c r="L96" s="81">
        <f t="shared" si="9"/>
        <v>124100</v>
      </c>
      <c r="M96" s="82" t="s">
        <v>119</v>
      </c>
    </row>
    <row r="97" spans="1:13" s="8" customFormat="1">
      <c r="A97" s="67" t="s">
        <v>734</v>
      </c>
      <c r="B97" s="68" t="s">
        <v>735</v>
      </c>
      <c r="C97" s="67" t="s">
        <v>736</v>
      </c>
      <c r="D97" s="68" t="s">
        <v>737</v>
      </c>
      <c r="E97" s="10"/>
      <c r="F97" s="7">
        <v>3100</v>
      </c>
      <c r="G97" s="7">
        <v>3100</v>
      </c>
      <c r="H97" s="13">
        <f t="shared" si="5"/>
        <v>0</v>
      </c>
      <c r="I97" s="13"/>
      <c r="J97" s="13">
        <f t="shared" si="7"/>
        <v>0</v>
      </c>
      <c r="K97" s="13"/>
      <c r="L97" s="14"/>
      <c r="M97" s="16" t="s">
        <v>738</v>
      </c>
    </row>
    <row r="98" spans="1:13" s="8" customFormat="1" ht="31.5">
      <c r="A98" s="67" t="s">
        <v>739</v>
      </c>
      <c r="B98" s="68" t="s">
        <v>740</v>
      </c>
      <c r="C98" s="67" t="s">
        <v>741</v>
      </c>
      <c r="D98" s="68" t="s">
        <v>190</v>
      </c>
      <c r="E98" s="10"/>
      <c r="F98" s="7">
        <v>1300</v>
      </c>
      <c r="G98" s="7">
        <v>1300</v>
      </c>
      <c r="H98" s="13">
        <f t="shared" si="5"/>
        <v>0</v>
      </c>
      <c r="I98" s="13"/>
      <c r="J98" s="13">
        <f t="shared" si="7"/>
        <v>0</v>
      </c>
      <c r="K98" s="13"/>
      <c r="L98" s="14"/>
      <c r="M98" s="16"/>
    </row>
    <row r="99" spans="1:13" s="8" customFormat="1" ht="31.5">
      <c r="A99" s="67" t="s">
        <v>303</v>
      </c>
      <c r="B99" s="68" t="s">
        <v>304</v>
      </c>
      <c r="C99" s="67" t="s">
        <v>305</v>
      </c>
      <c r="D99" s="67" t="s">
        <v>306</v>
      </c>
      <c r="E99" s="10">
        <v>14</v>
      </c>
      <c r="F99" s="7">
        <v>1900</v>
      </c>
      <c r="G99" s="7">
        <v>1900</v>
      </c>
      <c r="H99" s="13">
        <f t="shared" si="5"/>
        <v>0</v>
      </c>
      <c r="I99" s="13">
        <f t="shared" si="6"/>
        <v>0</v>
      </c>
      <c r="J99" s="13">
        <f t="shared" si="7"/>
        <v>0</v>
      </c>
      <c r="K99" s="13">
        <f t="shared" si="8"/>
        <v>0</v>
      </c>
      <c r="L99" s="14">
        <f t="shared" si="9"/>
        <v>26600</v>
      </c>
      <c r="M99" s="16" t="s">
        <v>708</v>
      </c>
    </row>
    <row r="100" spans="1:13">
      <c r="A100" s="60" t="s">
        <v>307</v>
      </c>
      <c r="B100" s="72" t="s">
        <v>308</v>
      </c>
      <c r="C100" s="60" t="s">
        <v>309</v>
      </c>
      <c r="D100" s="72" t="s">
        <v>190</v>
      </c>
      <c r="E100" s="21">
        <v>370.5</v>
      </c>
      <c r="F100" s="6">
        <v>800</v>
      </c>
      <c r="G100" s="6">
        <v>800</v>
      </c>
      <c r="H100" s="59">
        <f t="shared" si="5"/>
        <v>0</v>
      </c>
      <c r="I100" s="59">
        <f t="shared" si="6"/>
        <v>0</v>
      </c>
      <c r="J100" s="59">
        <f t="shared" si="7"/>
        <v>0</v>
      </c>
      <c r="K100" s="59">
        <f t="shared" si="8"/>
        <v>0</v>
      </c>
      <c r="L100" s="81">
        <f t="shared" si="9"/>
        <v>296400</v>
      </c>
      <c r="M100" s="82" t="s">
        <v>289</v>
      </c>
    </row>
    <row r="101" spans="1:13" s="8" customFormat="1" ht="31.5">
      <c r="A101" s="67" t="s">
        <v>310</v>
      </c>
      <c r="B101" s="68" t="s">
        <v>308</v>
      </c>
      <c r="C101" s="67" t="s">
        <v>311</v>
      </c>
      <c r="D101" s="68" t="s">
        <v>190</v>
      </c>
      <c r="E101" s="9">
        <v>279</v>
      </c>
      <c r="F101" s="7">
        <v>0</v>
      </c>
      <c r="G101" s="7">
        <v>0</v>
      </c>
      <c r="H101" s="13">
        <f t="shared" si="5"/>
        <v>0</v>
      </c>
      <c r="I101" s="13">
        <f t="shared" si="6"/>
        <v>0</v>
      </c>
      <c r="J101" s="13">
        <f t="shared" si="7"/>
        <v>0</v>
      </c>
      <c r="K101" s="13">
        <f t="shared" si="8"/>
        <v>0</v>
      </c>
      <c r="L101" s="14">
        <f t="shared" si="9"/>
        <v>0</v>
      </c>
      <c r="M101" s="16" t="s">
        <v>312</v>
      </c>
    </row>
    <row r="102" spans="1:13" ht="47.25">
      <c r="A102" s="60" t="s">
        <v>313</v>
      </c>
      <c r="B102" s="60" t="s">
        <v>319</v>
      </c>
      <c r="C102" s="60" t="s">
        <v>315</v>
      </c>
      <c r="D102" s="60" t="s">
        <v>316</v>
      </c>
      <c r="E102" s="21">
        <v>40</v>
      </c>
      <c r="F102" s="6">
        <v>3420</v>
      </c>
      <c r="G102" s="6">
        <v>3420</v>
      </c>
      <c r="H102" s="59">
        <f t="shared" si="5"/>
        <v>0</v>
      </c>
      <c r="I102" s="59">
        <f t="shared" si="6"/>
        <v>0</v>
      </c>
      <c r="J102" s="59">
        <f t="shared" si="7"/>
        <v>0</v>
      </c>
      <c r="K102" s="59">
        <f t="shared" si="8"/>
        <v>0</v>
      </c>
      <c r="L102" s="81">
        <f t="shared" si="9"/>
        <v>136800</v>
      </c>
      <c r="M102" s="82" t="s">
        <v>317</v>
      </c>
    </row>
    <row r="103" spans="1:13">
      <c r="A103" s="60"/>
      <c r="B103" s="60" t="s">
        <v>319</v>
      </c>
      <c r="C103" s="60" t="s">
        <v>175</v>
      </c>
      <c r="D103" s="60"/>
      <c r="E103" s="21"/>
      <c r="F103" s="6">
        <v>2500</v>
      </c>
      <c r="G103" s="6">
        <v>2500</v>
      </c>
      <c r="H103" s="59">
        <f t="shared" si="5"/>
        <v>0</v>
      </c>
      <c r="I103" s="59"/>
      <c r="J103" s="59">
        <f t="shared" si="7"/>
        <v>0</v>
      </c>
      <c r="K103" s="59"/>
      <c r="L103" s="81"/>
      <c r="M103" s="82" t="s">
        <v>691</v>
      </c>
    </row>
    <row r="104" spans="1:13" ht="31.5">
      <c r="A104" s="57" t="s">
        <v>318</v>
      </c>
      <c r="B104" s="57" t="s">
        <v>319</v>
      </c>
      <c r="C104" s="57" t="s">
        <v>320</v>
      </c>
      <c r="D104" s="57" t="s">
        <v>84</v>
      </c>
      <c r="E104" s="21">
        <v>60</v>
      </c>
      <c r="F104" s="6">
        <v>120</v>
      </c>
      <c r="G104" s="6">
        <v>120</v>
      </c>
      <c r="H104" s="59">
        <f t="shared" si="5"/>
        <v>0</v>
      </c>
      <c r="I104" s="59">
        <f t="shared" si="6"/>
        <v>0</v>
      </c>
      <c r="J104" s="59">
        <f t="shared" si="7"/>
        <v>0</v>
      </c>
      <c r="K104" s="59">
        <f t="shared" si="8"/>
        <v>0</v>
      </c>
      <c r="L104" s="81">
        <f t="shared" si="9"/>
        <v>7200</v>
      </c>
      <c r="M104" s="82" t="s">
        <v>321</v>
      </c>
    </row>
    <row r="105" spans="1:13" ht="31.5">
      <c r="A105" s="57" t="s">
        <v>322</v>
      </c>
      <c r="B105" s="57" t="s">
        <v>323</v>
      </c>
      <c r="C105" s="57" t="s">
        <v>76</v>
      </c>
      <c r="D105" s="57" t="s">
        <v>118</v>
      </c>
      <c r="E105" s="21">
        <v>1.26</v>
      </c>
      <c r="F105" s="6">
        <v>400</v>
      </c>
      <c r="G105" s="6">
        <v>400</v>
      </c>
      <c r="H105" s="59">
        <f t="shared" si="5"/>
        <v>0</v>
      </c>
      <c r="I105" s="59">
        <f t="shared" si="6"/>
        <v>0</v>
      </c>
      <c r="J105" s="59">
        <f t="shared" si="7"/>
        <v>0</v>
      </c>
      <c r="K105" s="59">
        <f t="shared" si="8"/>
        <v>0</v>
      </c>
      <c r="L105" s="81">
        <f t="shared" si="9"/>
        <v>504</v>
      </c>
      <c r="M105" s="82" t="s">
        <v>19</v>
      </c>
    </row>
    <row r="106" spans="1:13" s="8" customFormat="1" ht="47.25">
      <c r="A106" s="20" t="s">
        <v>324</v>
      </c>
      <c r="B106" s="20" t="s">
        <v>325</v>
      </c>
      <c r="C106" s="20" t="s">
        <v>326</v>
      </c>
      <c r="D106" s="71" t="s">
        <v>190</v>
      </c>
      <c r="E106" s="9">
        <v>319</v>
      </c>
      <c r="F106" s="7">
        <v>200</v>
      </c>
      <c r="G106" s="7">
        <v>200</v>
      </c>
      <c r="H106" s="13">
        <f t="shared" si="5"/>
        <v>0</v>
      </c>
      <c r="I106" s="13">
        <f t="shared" si="6"/>
        <v>0</v>
      </c>
      <c r="J106" s="13">
        <f t="shared" si="7"/>
        <v>0</v>
      </c>
      <c r="K106" s="13">
        <f t="shared" si="8"/>
        <v>0</v>
      </c>
      <c r="L106" s="14">
        <f t="shared" si="9"/>
        <v>63800</v>
      </c>
      <c r="M106" s="16" t="s">
        <v>692</v>
      </c>
    </row>
    <row r="107" spans="1:13" s="8" customFormat="1" ht="31.5">
      <c r="A107" s="20" t="s">
        <v>328</v>
      </c>
      <c r="B107" s="71" t="s">
        <v>329</v>
      </c>
      <c r="C107" s="20" t="s">
        <v>330</v>
      </c>
      <c r="D107" s="71" t="s">
        <v>190</v>
      </c>
      <c r="E107" s="10">
        <v>185</v>
      </c>
      <c r="F107" s="7">
        <v>130</v>
      </c>
      <c r="G107" s="7">
        <v>130</v>
      </c>
      <c r="H107" s="13">
        <f t="shared" si="5"/>
        <v>0</v>
      </c>
      <c r="I107" s="13">
        <f t="shared" si="6"/>
        <v>0</v>
      </c>
      <c r="J107" s="13">
        <f t="shared" si="7"/>
        <v>0</v>
      </c>
      <c r="K107" s="13">
        <f t="shared" si="8"/>
        <v>0</v>
      </c>
      <c r="L107" s="14">
        <f t="shared" si="9"/>
        <v>24050</v>
      </c>
      <c r="M107" s="16" t="s">
        <v>48</v>
      </c>
    </row>
    <row r="108" spans="1:13" s="8" customFormat="1">
      <c r="A108" s="20" t="s">
        <v>742</v>
      </c>
      <c r="B108" s="71" t="s">
        <v>743</v>
      </c>
      <c r="C108" s="20" t="s">
        <v>287</v>
      </c>
      <c r="D108" s="71" t="s">
        <v>744</v>
      </c>
      <c r="E108" s="10"/>
      <c r="F108" s="7">
        <v>2500</v>
      </c>
      <c r="G108" s="7">
        <v>2500</v>
      </c>
      <c r="H108" s="13">
        <f t="shared" si="5"/>
        <v>0</v>
      </c>
      <c r="I108" s="13"/>
      <c r="J108" s="13">
        <f t="shared" si="7"/>
        <v>0</v>
      </c>
      <c r="K108" s="13"/>
      <c r="L108" s="14"/>
      <c r="M108" s="16" t="s">
        <v>745</v>
      </c>
    </row>
    <row r="109" spans="1:13" s="8" customFormat="1">
      <c r="A109" s="20" t="s">
        <v>746</v>
      </c>
      <c r="B109" s="71" t="s">
        <v>747</v>
      </c>
      <c r="C109" s="20" t="s">
        <v>287</v>
      </c>
      <c r="D109" s="71" t="s">
        <v>748</v>
      </c>
      <c r="E109" s="10"/>
      <c r="F109" s="7">
        <v>1750</v>
      </c>
      <c r="G109" s="7">
        <v>1750</v>
      </c>
      <c r="H109" s="13">
        <f t="shared" si="5"/>
        <v>0</v>
      </c>
      <c r="I109" s="13"/>
      <c r="J109" s="13">
        <f t="shared" si="7"/>
        <v>0</v>
      </c>
      <c r="K109" s="13"/>
      <c r="L109" s="14"/>
      <c r="M109" s="16" t="s">
        <v>745</v>
      </c>
    </row>
    <row r="110" spans="1:13" ht="47.25">
      <c r="A110" s="57" t="s">
        <v>331</v>
      </c>
      <c r="B110" s="57" t="s">
        <v>332</v>
      </c>
      <c r="C110" s="57" t="s">
        <v>333</v>
      </c>
      <c r="D110" s="57" t="s">
        <v>118</v>
      </c>
      <c r="E110" s="58">
        <v>16</v>
      </c>
      <c r="F110" s="6">
        <v>900</v>
      </c>
      <c r="G110" s="6">
        <v>900</v>
      </c>
      <c r="H110" s="59">
        <f t="shared" si="5"/>
        <v>0</v>
      </c>
      <c r="I110" s="59">
        <f t="shared" si="6"/>
        <v>0</v>
      </c>
      <c r="J110" s="59">
        <f t="shared" si="7"/>
        <v>0</v>
      </c>
      <c r="K110" s="59">
        <f t="shared" si="8"/>
        <v>0</v>
      </c>
      <c r="L110" s="81">
        <f t="shared" si="9"/>
        <v>14400</v>
      </c>
      <c r="M110" s="82" t="s">
        <v>29</v>
      </c>
    </row>
    <row r="111" spans="1:13" s="8" customFormat="1" ht="31.5">
      <c r="A111" s="67" t="s">
        <v>334</v>
      </c>
      <c r="B111" s="68" t="s">
        <v>335</v>
      </c>
      <c r="C111" s="67" t="s">
        <v>311</v>
      </c>
      <c r="D111" s="67" t="s">
        <v>190</v>
      </c>
      <c r="E111" s="10">
        <v>135</v>
      </c>
      <c r="F111" s="7">
        <v>0</v>
      </c>
      <c r="G111" s="7">
        <v>0</v>
      </c>
      <c r="H111" s="13">
        <f t="shared" si="5"/>
        <v>0</v>
      </c>
      <c r="I111" s="13">
        <f t="shared" si="6"/>
        <v>0</v>
      </c>
      <c r="J111" s="13">
        <f t="shared" si="7"/>
        <v>0</v>
      </c>
      <c r="K111" s="13">
        <f t="shared" si="8"/>
        <v>0</v>
      </c>
      <c r="L111" s="14">
        <f t="shared" si="9"/>
        <v>0</v>
      </c>
      <c r="M111" s="16" t="s">
        <v>336</v>
      </c>
    </row>
    <row r="112" spans="1:13" s="8" customFormat="1">
      <c r="A112" s="20" t="s">
        <v>337</v>
      </c>
      <c r="B112" s="71" t="s">
        <v>335</v>
      </c>
      <c r="C112" s="20" t="s">
        <v>309</v>
      </c>
      <c r="D112" s="20" t="s">
        <v>190</v>
      </c>
      <c r="E112" s="10">
        <v>125</v>
      </c>
      <c r="F112" s="7">
        <v>0</v>
      </c>
      <c r="G112" s="7">
        <v>0</v>
      </c>
      <c r="H112" s="13">
        <f t="shared" si="5"/>
        <v>0</v>
      </c>
      <c r="I112" s="13">
        <f t="shared" si="6"/>
        <v>0</v>
      </c>
      <c r="J112" s="13">
        <f t="shared" si="7"/>
        <v>0</v>
      </c>
      <c r="K112" s="13">
        <f t="shared" si="8"/>
        <v>0</v>
      </c>
      <c r="L112" s="14">
        <f t="shared" si="9"/>
        <v>0</v>
      </c>
      <c r="M112" s="16" t="s">
        <v>24</v>
      </c>
    </row>
    <row r="113" spans="1:13" s="8" customFormat="1" ht="31.5">
      <c r="A113" s="67" t="s">
        <v>338</v>
      </c>
      <c r="B113" s="68" t="s">
        <v>339</v>
      </c>
      <c r="C113" s="67" t="s">
        <v>340</v>
      </c>
      <c r="D113" s="68" t="s">
        <v>190</v>
      </c>
      <c r="E113" s="10">
        <v>800</v>
      </c>
      <c r="F113" s="7">
        <v>0</v>
      </c>
      <c r="G113" s="7">
        <v>0</v>
      </c>
      <c r="H113" s="13">
        <f t="shared" si="5"/>
        <v>0</v>
      </c>
      <c r="I113" s="13">
        <f t="shared" si="6"/>
        <v>0</v>
      </c>
      <c r="J113" s="13">
        <f t="shared" si="7"/>
        <v>0</v>
      </c>
      <c r="K113" s="13">
        <f t="shared" si="8"/>
        <v>0</v>
      </c>
      <c r="L113" s="14">
        <f t="shared" si="9"/>
        <v>0</v>
      </c>
      <c r="M113" s="16" t="s">
        <v>341</v>
      </c>
    </row>
    <row r="114" spans="1:13">
      <c r="A114" s="57"/>
      <c r="B114" s="61" t="s">
        <v>342</v>
      </c>
      <c r="C114" s="57" t="s">
        <v>343</v>
      </c>
      <c r="D114" s="57" t="s">
        <v>185</v>
      </c>
      <c r="E114" s="58">
        <v>68</v>
      </c>
      <c r="F114" s="6">
        <v>144</v>
      </c>
      <c r="G114" s="6">
        <v>144</v>
      </c>
      <c r="H114" s="59">
        <f t="shared" si="5"/>
        <v>0</v>
      </c>
      <c r="I114" s="59">
        <f t="shared" si="6"/>
        <v>0</v>
      </c>
      <c r="J114" s="59">
        <f t="shared" si="7"/>
        <v>0</v>
      </c>
      <c r="K114" s="59">
        <f t="shared" si="8"/>
        <v>0</v>
      </c>
      <c r="L114" s="81">
        <f t="shared" si="9"/>
        <v>9792</v>
      </c>
      <c r="M114" s="82" t="s">
        <v>130</v>
      </c>
    </row>
    <row r="115" spans="1:13" s="8" customFormat="1">
      <c r="A115" s="20"/>
      <c r="B115" s="71" t="s">
        <v>344</v>
      </c>
      <c r="C115" s="20" t="s">
        <v>345</v>
      </c>
      <c r="D115" s="71" t="s">
        <v>185</v>
      </c>
      <c r="E115" s="10">
        <v>11</v>
      </c>
      <c r="F115" s="7">
        <v>900</v>
      </c>
      <c r="G115" s="7">
        <v>900</v>
      </c>
      <c r="H115" s="13">
        <f t="shared" si="5"/>
        <v>0</v>
      </c>
      <c r="I115" s="13">
        <f t="shared" si="6"/>
        <v>0</v>
      </c>
      <c r="J115" s="13">
        <f t="shared" si="7"/>
        <v>0</v>
      </c>
      <c r="K115" s="13">
        <f t="shared" si="8"/>
        <v>0</v>
      </c>
      <c r="L115" s="14">
        <f t="shared" si="9"/>
        <v>9900</v>
      </c>
      <c r="M115" s="16" t="s">
        <v>98</v>
      </c>
    </row>
    <row r="116" spans="1:13" s="8" customFormat="1">
      <c r="A116" s="20" t="s">
        <v>346</v>
      </c>
      <c r="B116" s="71" t="s">
        <v>347</v>
      </c>
      <c r="C116" s="20" t="s">
        <v>348</v>
      </c>
      <c r="D116" s="20" t="s">
        <v>179</v>
      </c>
      <c r="E116" s="9">
        <v>15.8</v>
      </c>
      <c r="F116" s="7">
        <v>280</v>
      </c>
      <c r="G116" s="7">
        <v>280</v>
      </c>
      <c r="H116" s="13">
        <f t="shared" si="5"/>
        <v>0</v>
      </c>
      <c r="I116" s="13">
        <f t="shared" si="6"/>
        <v>0</v>
      </c>
      <c r="J116" s="13">
        <f t="shared" si="7"/>
        <v>0</v>
      </c>
      <c r="K116" s="13">
        <f t="shared" si="8"/>
        <v>0</v>
      </c>
      <c r="L116" s="14">
        <f t="shared" si="9"/>
        <v>4424</v>
      </c>
      <c r="M116" s="16" t="s">
        <v>139</v>
      </c>
    </row>
    <row r="117" spans="1:13">
      <c r="A117" s="57" t="s">
        <v>349</v>
      </c>
      <c r="B117" s="61" t="s">
        <v>350</v>
      </c>
      <c r="C117" s="57" t="s">
        <v>351</v>
      </c>
      <c r="D117" s="57" t="s">
        <v>185</v>
      </c>
      <c r="E117" s="21">
        <v>9</v>
      </c>
      <c r="F117" s="6">
        <v>300</v>
      </c>
      <c r="G117" s="6">
        <v>300</v>
      </c>
      <c r="H117" s="59">
        <f t="shared" si="5"/>
        <v>0</v>
      </c>
      <c r="I117" s="59">
        <f t="shared" si="6"/>
        <v>0</v>
      </c>
      <c r="J117" s="59">
        <f t="shared" si="7"/>
        <v>0</v>
      </c>
      <c r="K117" s="59">
        <f t="shared" si="8"/>
        <v>0</v>
      </c>
      <c r="L117" s="81">
        <f t="shared" si="9"/>
        <v>2700</v>
      </c>
      <c r="M117" s="82" t="s">
        <v>48</v>
      </c>
    </row>
    <row r="118" spans="1:13">
      <c r="A118" s="57" t="s">
        <v>352</v>
      </c>
      <c r="B118" s="57" t="s">
        <v>350</v>
      </c>
      <c r="C118" s="57" t="s">
        <v>353</v>
      </c>
      <c r="D118" s="57" t="s">
        <v>354</v>
      </c>
      <c r="E118" s="21">
        <v>15</v>
      </c>
      <c r="F118" s="6">
        <v>35</v>
      </c>
      <c r="G118" s="6">
        <v>35</v>
      </c>
      <c r="H118" s="59">
        <f t="shared" si="5"/>
        <v>0</v>
      </c>
      <c r="I118" s="59">
        <f t="shared" si="6"/>
        <v>0</v>
      </c>
      <c r="J118" s="59">
        <f t="shared" si="7"/>
        <v>0</v>
      </c>
      <c r="K118" s="59">
        <f t="shared" si="8"/>
        <v>0</v>
      </c>
      <c r="L118" s="81">
        <f t="shared" si="9"/>
        <v>525</v>
      </c>
      <c r="M118" s="82" t="s">
        <v>289</v>
      </c>
    </row>
    <row r="119" spans="1:13" ht="31.5">
      <c r="A119" s="57" t="s">
        <v>355</v>
      </c>
      <c r="B119" s="61" t="s">
        <v>356</v>
      </c>
      <c r="C119" s="57" t="s">
        <v>357</v>
      </c>
      <c r="D119" s="61" t="s">
        <v>190</v>
      </c>
      <c r="E119" s="21">
        <v>1300</v>
      </c>
      <c r="F119" s="6">
        <v>73</v>
      </c>
      <c r="G119" s="6">
        <v>73</v>
      </c>
      <c r="H119" s="59">
        <f t="shared" si="5"/>
        <v>0</v>
      </c>
      <c r="I119" s="59">
        <f t="shared" si="6"/>
        <v>0</v>
      </c>
      <c r="J119" s="59">
        <f t="shared" si="7"/>
        <v>0</v>
      </c>
      <c r="K119" s="59">
        <f t="shared" si="8"/>
        <v>0</v>
      </c>
      <c r="L119" s="81">
        <f t="shared" si="9"/>
        <v>94900</v>
      </c>
      <c r="M119" s="82" t="s">
        <v>358</v>
      </c>
    </row>
    <row r="120" spans="1:13" ht="31.5">
      <c r="A120" s="57" t="s">
        <v>359</v>
      </c>
      <c r="B120" s="61" t="s">
        <v>360</v>
      </c>
      <c r="C120" s="57" t="s">
        <v>361</v>
      </c>
      <c r="D120" s="57" t="s">
        <v>362</v>
      </c>
      <c r="E120" s="21">
        <v>650</v>
      </c>
      <c r="F120" s="6">
        <v>80</v>
      </c>
      <c r="G120" s="6">
        <v>80</v>
      </c>
      <c r="H120" s="59">
        <f t="shared" si="5"/>
        <v>0</v>
      </c>
      <c r="I120" s="59">
        <f t="shared" si="6"/>
        <v>0</v>
      </c>
      <c r="J120" s="59">
        <f t="shared" si="7"/>
        <v>0</v>
      </c>
      <c r="K120" s="59">
        <f t="shared" si="8"/>
        <v>0</v>
      </c>
      <c r="L120" s="81">
        <f t="shared" si="9"/>
        <v>52000</v>
      </c>
      <c r="M120" s="82" t="s">
        <v>69</v>
      </c>
    </row>
    <row r="121" spans="1:13" ht="31.5">
      <c r="A121" s="57" t="s">
        <v>363</v>
      </c>
      <c r="B121" s="61" t="s">
        <v>364</v>
      </c>
      <c r="C121" s="57" t="s">
        <v>365</v>
      </c>
      <c r="D121" s="57" t="s">
        <v>366</v>
      </c>
      <c r="E121" s="21">
        <v>45</v>
      </c>
      <c r="F121" s="6">
        <v>1455</v>
      </c>
      <c r="G121" s="6">
        <v>1455</v>
      </c>
      <c r="H121" s="59">
        <f t="shared" si="5"/>
        <v>0</v>
      </c>
      <c r="I121" s="59">
        <f t="shared" si="6"/>
        <v>0</v>
      </c>
      <c r="J121" s="59">
        <f t="shared" si="7"/>
        <v>0</v>
      </c>
      <c r="K121" s="59">
        <f t="shared" si="8"/>
        <v>0</v>
      </c>
      <c r="L121" s="81">
        <f t="shared" si="9"/>
        <v>65475</v>
      </c>
      <c r="M121" s="82" t="s">
        <v>166</v>
      </c>
    </row>
    <row r="122" spans="1:13">
      <c r="A122" s="57" t="s">
        <v>367</v>
      </c>
      <c r="B122" s="57" t="s">
        <v>368</v>
      </c>
      <c r="C122" s="57" t="s">
        <v>369</v>
      </c>
      <c r="D122" s="61" t="s">
        <v>185</v>
      </c>
      <c r="E122" s="21">
        <v>10</v>
      </c>
      <c r="F122" s="6">
        <v>2600</v>
      </c>
      <c r="G122" s="6">
        <v>2600</v>
      </c>
      <c r="H122" s="59">
        <f t="shared" si="5"/>
        <v>0</v>
      </c>
      <c r="I122" s="59">
        <f t="shared" si="6"/>
        <v>0</v>
      </c>
      <c r="J122" s="59">
        <f t="shared" si="7"/>
        <v>0</v>
      </c>
      <c r="K122" s="59">
        <f t="shared" si="8"/>
        <v>0</v>
      </c>
      <c r="L122" s="81">
        <f t="shared" si="9"/>
        <v>26000</v>
      </c>
      <c r="M122" s="82" t="s">
        <v>370</v>
      </c>
    </row>
    <row r="123" spans="1:13" ht="63">
      <c r="A123" s="60" t="s">
        <v>371</v>
      </c>
      <c r="B123" s="60" t="s">
        <v>372</v>
      </c>
      <c r="C123" s="60" t="s">
        <v>373</v>
      </c>
      <c r="D123" s="60" t="s">
        <v>374</v>
      </c>
      <c r="E123" s="21">
        <v>1000</v>
      </c>
      <c r="F123" s="6">
        <v>416</v>
      </c>
      <c r="G123" s="6">
        <v>416</v>
      </c>
      <c r="H123" s="59">
        <f t="shared" si="5"/>
        <v>0</v>
      </c>
      <c r="I123" s="59">
        <f t="shared" si="6"/>
        <v>0</v>
      </c>
      <c r="J123" s="59">
        <f t="shared" si="7"/>
        <v>0</v>
      </c>
      <c r="K123" s="59">
        <f t="shared" si="8"/>
        <v>0</v>
      </c>
      <c r="L123" s="81">
        <f t="shared" si="9"/>
        <v>416000</v>
      </c>
      <c r="M123" s="82" t="s">
        <v>188</v>
      </c>
    </row>
    <row r="124" spans="1:13">
      <c r="A124" s="57" t="s">
        <v>375</v>
      </c>
      <c r="B124" s="57" t="s">
        <v>376</v>
      </c>
      <c r="C124" s="57" t="s">
        <v>309</v>
      </c>
      <c r="D124" s="61" t="s">
        <v>190</v>
      </c>
      <c r="E124" s="21">
        <v>1540</v>
      </c>
      <c r="F124" s="6">
        <v>10</v>
      </c>
      <c r="G124" s="6">
        <v>10</v>
      </c>
      <c r="H124" s="59">
        <f t="shared" si="5"/>
        <v>0</v>
      </c>
      <c r="I124" s="59">
        <f t="shared" si="6"/>
        <v>0</v>
      </c>
      <c r="J124" s="59">
        <f t="shared" si="7"/>
        <v>0</v>
      </c>
      <c r="K124" s="59">
        <f t="shared" si="8"/>
        <v>0</v>
      </c>
      <c r="L124" s="81">
        <f t="shared" si="9"/>
        <v>15400</v>
      </c>
      <c r="M124" s="82" t="s">
        <v>143</v>
      </c>
    </row>
    <row r="125" spans="1:13">
      <c r="A125" s="57" t="s">
        <v>377</v>
      </c>
      <c r="B125" s="57" t="s">
        <v>378</v>
      </c>
      <c r="C125" s="57" t="s">
        <v>379</v>
      </c>
      <c r="D125" s="57" t="s">
        <v>190</v>
      </c>
      <c r="E125" s="21">
        <v>1860</v>
      </c>
      <c r="F125" s="6">
        <v>16</v>
      </c>
      <c r="G125" s="6">
        <v>16</v>
      </c>
      <c r="H125" s="59">
        <f t="shared" si="5"/>
        <v>0</v>
      </c>
      <c r="I125" s="59">
        <f t="shared" si="6"/>
        <v>0</v>
      </c>
      <c r="J125" s="59">
        <f t="shared" si="7"/>
        <v>0</v>
      </c>
      <c r="K125" s="59">
        <f t="shared" si="8"/>
        <v>0</v>
      </c>
      <c r="L125" s="81">
        <f t="shared" si="9"/>
        <v>29760</v>
      </c>
      <c r="M125" s="82" t="s">
        <v>135</v>
      </c>
    </row>
    <row r="126" spans="1:13">
      <c r="A126" s="57" t="s">
        <v>380</v>
      </c>
      <c r="B126" s="57" t="s">
        <v>381</v>
      </c>
      <c r="C126" s="57" t="s">
        <v>382</v>
      </c>
      <c r="D126" s="61" t="s">
        <v>190</v>
      </c>
      <c r="E126" s="21">
        <v>1500</v>
      </c>
      <c r="F126" s="6">
        <v>10</v>
      </c>
      <c r="G126" s="6">
        <v>10</v>
      </c>
      <c r="H126" s="59">
        <f t="shared" si="5"/>
        <v>0</v>
      </c>
      <c r="I126" s="59">
        <f t="shared" si="6"/>
        <v>0</v>
      </c>
      <c r="J126" s="59">
        <f t="shared" si="7"/>
        <v>0</v>
      </c>
      <c r="K126" s="59">
        <f t="shared" si="8"/>
        <v>0</v>
      </c>
      <c r="L126" s="81">
        <f t="shared" si="9"/>
        <v>15000</v>
      </c>
      <c r="M126" s="82" t="s">
        <v>119</v>
      </c>
    </row>
    <row r="127" spans="1:13" ht="31.5">
      <c r="A127" s="57" t="s">
        <v>383</v>
      </c>
      <c r="B127" s="57" t="s">
        <v>384</v>
      </c>
      <c r="C127" s="57" t="s">
        <v>385</v>
      </c>
      <c r="D127" s="57" t="s">
        <v>386</v>
      </c>
      <c r="E127" s="21">
        <v>36.67</v>
      </c>
      <c r="F127" s="6">
        <v>300</v>
      </c>
      <c r="G127" s="6">
        <v>300</v>
      </c>
      <c r="H127" s="59">
        <f t="shared" si="5"/>
        <v>0</v>
      </c>
      <c r="I127" s="59">
        <f t="shared" si="6"/>
        <v>0</v>
      </c>
      <c r="J127" s="59">
        <f t="shared" si="7"/>
        <v>0</v>
      </c>
      <c r="K127" s="59">
        <f t="shared" si="8"/>
        <v>0</v>
      </c>
      <c r="L127" s="81">
        <f t="shared" si="9"/>
        <v>11001</v>
      </c>
      <c r="M127" s="82" t="s">
        <v>387</v>
      </c>
    </row>
    <row r="128" spans="1:13">
      <c r="A128" s="57" t="s">
        <v>388</v>
      </c>
      <c r="B128" s="57" t="s">
        <v>389</v>
      </c>
      <c r="C128" s="57" t="s">
        <v>390</v>
      </c>
      <c r="D128" s="57" t="s">
        <v>247</v>
      </c>
      <c r="E128" s="21">
        <v>8000</v>
      </c>
      <c r="F128" s="6">
        <v>90</v>
      </c>
      <c r="G128" s="6">
        <v>90</v>
      </c>
      <c r="H128" s="59">
        <f t="shared" si="5"/>
        <v>0</v>
      </c>
      <c r="I128" s="59">
        <f t="shared" si="6"/>
        <v>0</v>
      </c>
      <c r="J128" s="59">
        <f t="shared" si="7"/>
        <v>0</v>
      </c>
      <c r="K128" s="59">
        <f t="shared" si="8"/>
        <v>0</v>
      </c>
      <c r="L128" s="81">
        <f t="shared" si="9"/>
        <v>720000</v>
      </c>
      <c r="M128" s="82" t="s">
        <v>211</v>
      </c>
    </row>
    <row r="129" spans="1:13">
      <c r="A129" s="57" t="s">
        <v>391</v>
      </c>
      <c r="B129" s="57" t="s">
        <v>392</v>
      </c>
      <c r="C129" s="57" t="s">
        <v>393</v>
      </c>
      <c r="D129" s="57" t="s">
        <v>394</v>
      </c>
      <c r="E129" s="21">
        <v>14935</v>
      </c>
      <c r="F129" s="6">
        <v>1</v>
      </c>
      <c r="G129" s="6">
        <v>1</v>
      </c>
      <c r="H129" s="59">
        <f t="shared" si="5"/>
        <v>0</v>
      </c>
      <c r="I129" s="59">
        <f t="shared" si="6"/>
        <v>0</v>
      </c>
      <c r="J129" s="59">
        <f t="shared" si="7"/>
        <v>0</v>
      </c>
      <c r="K129" s="59">
        <f t="shared" si="8"/>
        <v>0</v>
      </c>
      <c r="L129" s="81">
        <f t="shared" si="9"/>
        <v>14935</v>
      </c>
      <c r="M129" s="82" t="s">
        <v>166</v>
      </c>
    </row>
    <row r="130" spans="1:13">
      <c r="A130" s="57" t="s">
        <v>395</v>
      </c>
      <c r="B130" s="61" t="s">
        <v>396</v>
      </c>
      <c r="C130" s="57" t="s">
        <v>369</v>
      </c>
      <c r="D130" s="57" t="s">
        <v>185</v>
      </c>
      <c r="E130" s="21">
        <v>9.35</v>
      </c>
      <c r="F130" s="6">
        <v>3300</v>
      </c>
      <c r="G130" s="6">
        <v>3300</v>
      </c>
      <c r="H130" s="59">
        <f t="shared" si="5"/>
        <v>0</v>
      </c>
      <c r="I130" s="59">
        <f t="shared" si="6"/>
        <v>0</v>
      </c>
      <c r="J130" s="59">
        <f t="shared" si="7"/>
        <v>0</v>
      </c>
      <c r="K130" s="59">
        <f t="shared" si="8"/>
        <v>0</v>
      </c>
      <c r="L130" s="81">
        <f t="shared" si="9"/>
        <v>30855</v>
      </c>
      <c r="M130" s="82" t="s">
        <v>24</v>
      </c>
    </row>
    <row r="131" spans="1:13">
      <c r="A131" s="57" t="s">
        <v>397</v>
      </c>
      <c r="B131" s="61" t="s">
        <v>398</v>
      </c>
      <c r="C131" s="57" t="s">
        <v>399</v>
      </c>
      <c r="D131" s="57" t="s">
        <v>190</v>
      </c>
      <c r="E131" s="21">
        <v>1800</v>
      </c>
      <c r="F131" s="6">
        <v>18</v>
      </c>
      <c r="G131" s="6">
        <v>18</v>
      </c>
      <c r="H131" s="59">
        <f t="shared" si="5"/>
        <v>0</v>
      </c>
      <c r="I131" s="59">
        <f t="shared" si="6"/>
        <v>0</v>
      </c>
      <c r="J131" s="59">
        <f t="shared" si="7"/>
        <v>0</v>
      </c>
      <c r="K131" s="59">
        <f t="shared" si="8"/>
        <v>0</v>
      </c>
      <c r="L131" s="81">
        <f t="shared" si="9"/>
        <v>32400</v>
      </c>
      <c r="M131" s="82" t="s">
        <v>48</v>
      </c>
    </row>
    <row r="132" spans="1:13">
      <c r="A132" s="57" t="s">
        <v>400</v>
      </c>
      <c r="B132" s="61" t="s">
        <v>401</v>
      </c>
      <c r="C132" s="57" t="s">
        <v>402</v>
      </c>
      <c r="D132" s="57" t="s">
        <v>56</v>
      </c>
      <c r="E132" s="21">
        <v>9</v>
      </c>
      <c r="F132" s="6">
        <v>1400</v>
      </c>
      <c r="G132" s="6">
        <v>1400</v>
      </c>
      <c r="H132" s="59">
        <f t="shared" si="5"/>
        <v>0</v>
      </c>
      <c r="I132" s="59">
        <f t="shared" si="6"/>
        <v>0</v>
      </c>
      <c r="J132" s="59">
        <f t="shared" si="7"/>
        <v>0</v>
      </c>
      <c r="K132" s="59">
        <f t="shared" si="8"/>
        <v>0</v>
      </c>
      <c r="L132" s="81">
        <f t="shared" si="9"/>
        <v>12600</v>
      </c>
      <c r="M132" s="82" t="s">
        <v>403</v>
      </c>
    </row>
    <row r="133" spans="1:13" ht="31.5">
      <c r="A133" s="57" t="s">
        <v>404</v>
      </c>
      <c r="B133" s="61" t="s">
        <v>405</v>
      </c>
      <c r="C133" s="57" t="s">
        <v>406</v>
      </c>
      <c r="D133" s="57" t="s">
        <v>56</v>
      </c>
      <c r="E133" s="21">
        <v>500</v>
      </c>
      <c r="F133" s="6">
        <v>20</v>
      </c>
      <c r="G133" s="6">
        <v>20</v>
      </c>
      <c r="H133" s="59">
        <f t="shared" si="5"/>
        <v>0</v>
      </c>
      <c r="I133" s="59">
        <f t="shared" si="6"/>
        <v>0</v>
      </c>
      <c r="J133" s="59">
        <f t="shared" si="7"/>
        <v>0</v>
      </c>
      <c r="K133" s="59">
        <f t="shared" si="8"/>
        <v>0</v>
      </c>
      <c r="L133" s="81">
        <f t="shared" si="9"/>
        <v>10000</v>
      </c>
      <c r="M133" s="82" t="s">
        <v>143</v>
      </c>
    </row>
    <row r="134" spans="1:13" ht="31.5">
      <c r="A134" s="57" t="s">
        <v>407</v>
      </c>
      <c r="B134" s="57" t="s">
        <v>408</v>
      </c>
      <c r="C134" s="57" t="s">
        <v>409</v>
      </c>
      <c r="D134" s="57" t="s">
        <v>38</v>
      </c>
      <c r="E134" s="21">
        <v>563.05999999999995</v>
      </c>
      <c r="F134" s="6">
        <v>30</v>
      </c>
      <c r="G134" s="6">
        <v>30</v>
      </c>
      <c r="H134" s="59">
        <f t="shared" si="5"/>
        <v>0</v>
      </c>
      <c r="I134" s="59">
        <f t="shared" si="6"/>
        <v>0</v>
      </c>
      <c r="J134" s="59">
        <f t="shared" si="7"/>
        <v>0</v>
      </c>
      <c r="K134" s="59">
        <f t="shared" si="8"/>
        <v>0</v>
      </c>
      <c r="L134" s="81">
        <f t="shared" si="9"/>
        <v>16891.8</v>
      </c>
      <c r="M134" s="82" t="s">
        <v>48</v>
      </c>
    </row>
    <row r="135" spans="1:13">
      <c r="A135" s="60" t="s">
        <v>410</v>
      </c>
      <c r="B135" s="60" t="s">
        <v>411</v>
      </c>
      <c r="C135" s="60" t="s">
        <v>412</v>
      </c>
      <c r="D135" s="60" t="s">
        <v>185</v>
      </c>
      <c r="E135" s="21">
        <v>3</v>
      </c>
      <c r="F135" s="6">
        <v>24700</v>
      </c>
      <c r="G135" s="6">
        <v>24700</v>
      </c>
      <c r="H135" s="59">
        <f t="shared" si="5"/>
        <v>0</v>
      </c>
      <c r="I135" s="59">
        <f t="shared" si="6"/>
        <v>0</v>
      </c>
      <c r="J135" s="59">
        <f t="shared" si="7"/>
        <v>0</v>
      </c>
      <c r="K135" s="59">
        <f t="shared" si="8"/>
        <v>0</v>
      </c>
      <c r="L135" s="81">
        <f t="shared" si="9"/>
        <v>74100</v>
      </c>
      <c r="M135" s="82" t="s">
        <v>197</v>
      </c>
    </row>
    <row r="136" spans="1:13" s="8" customFormat="1" ht="31.5">
      <c r="A136" s="67" t="s">
        <v>413</v>
      </c>
      <c r="B136" s="67" t="s">
        <v>693</v>
      </c>
      <c r="C136" s="67" t="s">
        <v>415</v>
      </c>
      <c r="D136" s="67" t="s">
        <v>56</v>
      </c>
      <c r="E136" s="9">
        <v>7.5</v>
      </c>
      <c r="F136" s="7">
        <v>1500</v>
      </c>
      <c r="G136" s="7">
        <v>1500</v>
      </c>
      <c r="H136" s="13">
        <f t="shared" si="5"/>
        <v>0</v>
      </c>
      <c r="I136" s="13">
        <f t="shared" si="6"/>
        <v>0</v>
      </c>
      <c r="J136" s="13">
        <f t="shared" si="7"/>
        <v>0</v>
      </c>
      <c r="K136" s="13">
        <f t="shared" si="8"/>
        <v>0</v>
      </c>
      <c r="L136" s="14">
        <f t="shared" si="9"/>
        <v>11250</v>
      </c>
      <c r="M136" s="16" t="s">
        <v>19</v>
      </c>
    </row>
    <row r="137" spans="1:13" s="8" customFormat="1" ht="31.5">
      <c r="A137" s="67" t="s">
        <v>416</v>
      </c>
      <c r="B137" s="67" t="s">
        <v>417</v>
      </c>
      <c r="C137" s="67" t="s">
        <v>146</v>
      </c>
      <c r="D137" s="67" t="s">
        <v>118</v>
      </c>
      <c r="E137" s="9">
        <v>0.62</v>
      </c>
      <c r="F137" s="7">
        <v>8000</v>
      </c>
      <c r="G137" s="7">
        <v>8000</v>
      </c>
      <c r="H137" s="13">
        <f t="shared" si="5"/>
        <v>0</v>
      </c>
      <c r="I137" s="13">
        <f t="shared" si="6"/>
        <v>0</v>
      </c>
      <c r="J137" s="13">
        <f t="shared" si="7"/>
        <v>0</v>
      </c>
      <c r="K137" s="13">
        <f t="shared" si="8"/>
        <v>0</v>
      </c>
      <c r="L137" s="14">
        <f t="shared" si="9"/>
        <v>4960</v>
      </c>
      <c r="M137" s="16" t="s">
        <v>642</v>
      </c>
    </row>
    <row r="138" spans="1:13" ht="31.5">
      <c r="A138" s="60" t="s">
        <v>418</v>
      </c>
      <c r="B138" s="72" t="s">
        <v>419</v>
      </c>
      <c r="C138" s="60" t="s">
        <v>420</v>
      </c>
      <c r="D138" s="60" t="s">
        <v>421</v>
      </c>
      <c r="E138" s="21">
        <v>0.85</v>
      </c>
      <c r="F138" s="6">
        <v>2700</v>
      </c>
      <c r="G138" s="6">
        <v>2700</v>
      </c>
      <c r="H138" s="59">
        <f t="shared" si="5"/>
        <v>0</v>
      </c>
      <c r="I138" s="59">
        <f t="shared" si="6"/>
        <v>0</v>
      </c>
      <c r="J138" s="59">
        <f t="shared" si="7"/>
        <v>0</v>
      </c>
      <c r="K138" s="59">
        <f t="shared" si="8"/>
        <v>0</v>
      </c>
      <c r="L138" s="81">
        <f t="shared" si="9"/>
        <v>2295</v>
      </c>
      <c r="M138" s="82" t="s">
        <v>52</v>
      </c>
    </row>
    <row r="139" spans="1:13" s="8" customFormat="1" ht="31.5">
      <c r="A139" s="20" t="s">
        <v>422</v>
      </c>
      <c r="B139" s="20" t="s">
        <v>423</v>
      </c>
      <c r="C139" s="20" t="s">
        <v>424</v>
      </c>
      <c r="D139" s="71" t="s">
        <v>190</v>
      </c>
      <c r="E139" s="9">
        <v>29.9</v>
      </c>
      <c r="F139" s="7">
        <v>200</v>
      </c>
      <c r="G139" s="7">
        <v>200</v>
      </c>
      <c r="H139" s="13">
        <f t="shared" si="5"/>
        <v>0</v>
      </c>
      <c r="I139" s="13">
        <f t="shared" si="6"/>
        <v>0</v>
      </c>
      <c r="J139" s="13">
        <f t="shared" si="7"/>
        <v>0</v>
      </c>
      <c r="K139" s="13">
        <f t="shared" si="8"/>
        <v>0</v>
      </c>
      <c r="L139" s="14">
        <f t="shared" si="9"/>
        <v>5980</v>
      </c>
      <c r="M139" s="16" t="s">
        <v>24</v>
      </c>
    </row>
    <row r="140" spans="1:13" ht="47.25">
      <c r="A140" s="60" t="s">
        <v>425</v>
      </c>
      <c r="B140" s="60" t="s">
        <v>426</v>
      </c>
      <c r="C140" s="72" t="s">
        <v>427</v>
      </c>
      <c r="D140" s="60" t="s">
        <v>38</v>
      </c>
      <c r="E140" s="21">
        <v>563.05999999999995</v>
      </c>
      <c r="F140" s="6">
        <v>50</v>
      </c>
      <c r="G140" s="6">
        <v>50</v>
      </c>
      <c r="H140" s="59">
        <f t="shared" si="5"/>
        <v>0</v>
      </c>
      <c r="I140" s="59">
        <f t="shared" si="6"/>
        <v>0</v>
      </c>
      <c r="J140" s="59">
        <f t="shared" si="7"/>
        <v>0</v>
      </c>
      <c r="K140" s="59">
        <f t="shared" si="8"/>
        <v>0</v>
      </c>
      <c r="L140" s="81">
        <f t="shared" si="9"/>
        <v>28153</v>
      </c>
      <c r="M140" s="82" t="s">
        <v>166</v>
      </c>
    </row>
    <row r="141" spans="1:13" ht="31.5">
      <c r="A141" s="60" t="s">
        <v>428</v>
      </c>
      <c r="B141" s="72" t="s">
        <v>429</v>
      </c>
      <c r="C141" s="60" t="s">
        <v>430</v>
      </c>
      <c r="D141" s="60" t="s">
        <v>118</v>
      </c>
      <c r="E141" s="21">
        <v>2.67</v>
      </c>
      <c r="F141" s="6">
        <v>2716</v>
      </c>
      <c r="G141" s="6">
        <v>2716</v>
      </c>
      <c r="H141" s="59">
        <f t="shared" si="5"/>
        <v>0</v>
      </c>
      <c r="I141" s="59">
        <f t="shared" si="6"/>
        <v>0</v>
      </c>
      <c r="J141" s="59">
        <f t="shared" si="7"/>
        <v>0</v>
      </c>
      <c r="K141" s="59">
        <f t="shared" si="8"/>
        <v>0</v>
      </c>
      <c r="L141" s="81">
        <f t="shared" si="9"/>
        <v>7251.72</v>
      </c>
      <c r="M141" s="82" t="s">
        <v>24</v>
      </c>
    </row>
    <row r="142" spans="1:13" ht="31.5">
      <c r="A142" s="60" t="s">
        <v>431</v>
      </c>
      <c r="B142" s="60" t="s">
        <v>429</v>
      </c>
      <c r="C142" s="60" t="s">
        <v>432</v>
      </c>
      <c r="D142" s="88" t="s">
        <v>433</v>
      </c>
      <c r="E142" s="21">
        <v>3.1</v>
      </c>
      <c r="F142" s="6">
        <v>300</v>
      </c>
      <c r="G142" s="6">
        <v>300</v>
      </c>
      <c r="H142" s="59">
        <f t="shared" si="5"/>
        <v>0</v>
      </c>
      <c r="I142" s="59">
        <f t="shared" si="6"/>
        <v>0</v>
      </c>
      <c r="J142" s="59">
        <f t="shared" si="7"/>
        <v>0</v>
      </c>
      <c r="K142" s="59">
        <f t="shared" si="8"/>
        <v>0</v>
      </c>
      <c r="L142" s="81">
        <f t="shared" si="9"/>
        <v>930</v>
      </c>
      <c r="M142" s="82" t="s">
        <v>24</v>
      </c>
    </row>
    <row r="143" spans="1:13" ht="31.5">
      <c r="A143" s="57" t="s">
        <v>434</v>
      </c>
      <c r="B143" s="61" t="s">
        <v>419</v>
      </c>
      <c r="C143" s="61" t="s">
        <v>435</v>
      </c>
      <c r="D143" s="57" t="s">
        <v>118</v>
      </c>
      <c r="E143" s="21">
        <v>10.029999999999999</v>
      </c>
      <c r="F143" s="6">
        <v>3300</v>
      </c>
      <c r="G143" s="6">
        <v>3300</v>
      </c>
      <c r="H143" s="59">
        <f t="shared" si="5"/>
        <v>0</v>
      </c>
      <c r="I143" s="59">
        <f t="shared" si="6"/>
        <v>0</v>
      </c>
      <c r="J143" s="59">
        <f t="shared" si="7"/>
        <v>0</v>
      </c>
      <c r="K143" s="59">
        <f t="shared" si="8"/>
        <v>0</v>
      </c>
      <c r="L143" s="81">
        <f t="shared" si="9"/>
        <v>33099</v>
      </c>
      <c r="M143" s="82" t="s">
        <v>48</v>
      </c>
    </row>
    <row r="144" spans="1:13" s="8" customFormat="1" ht="31.5">
      <c r="A144" s="20" t="s">
        <v>436</v>
      </c>
      <c r="B144" s="20" t="s">
        <v>437</v>
      </c>
      <c r="C144" s="20" t="s">
        <v>438</v>
      </c>
      <c r="D144" s="20" t="s">
        <v>118</v>
      </c>
      <c r="E144" s="9">
        <v>17.829999999999998</v>
      </c>
      <c r="F144" s="7">
        <v>4200</v>
      </c>
      <c r="G144" s="7">
        <v>4200</v>
      </c>
      <c r="H144" s="13">
        <f t="shared" si="5"/>
        <v>0</v>
      </c>
      <c r="I144" s="13">
        <f t="shared" si="6"/>
        <v>0</v>
      </c>
      <c r="J144" s="13">
        <f t="shared" si="7"/>
        <v>0</v>
      </c>
      <c r="K144" s="13">
        <f t="shared" si="8"/>
        <v>0</v>
      </c>
      <c r="L144" s="14">
        <f t="shared" si="9"/>
        <v>74886</v>
      </c>
      <c r="M144" s="16" t="s">
        <v>29</v>
      </c>
    </row>
    <row r="145" spans="1:14" ht="31.5">
      <c r="A145" s="57" t="s">
        <v>439</v>
      </c>
      <c r="B145" s="57" t="s">
        <v>440</v>
      </c>
      <c r="C145" s="57" t="s">
        <v>76</v>
      </c>
      <c r="D145" s="57" t="s">
        <v>118</v>
      </c>
      <c r="E145" s="21">
        <v>12.83</v>
      </c>
      <c r="F145" s="6">
        <v>300</v>
      </c>
      <c r="G145" s="6">
        <v>300</v>
      </c>
      <c r="H145" s="59">
        <f t="shared" si="5"/>
        <v>0</v>
      </c>
      <c r="I145" s="59">
        <f t="shared" si="6"/>
        <v>0</v>
      </c>
      <c r="J145" s="59">
        <f t="shared" si="7"/>
        <v>0</v>
      </c>
      <c r="K145" s="59">
        <f t="shared" si="8"/>
        <v>0</v>
      </c>
      <c r="L145" s="81">
        <f t="shared" si="9"/>
        <v>3849</v>
      </c>
      <c r="M145" s="82" t="s">
        <v>358</v>
      </c>
    </row>
    <row r="146" spans="1:14" ht="31.5">
      <c r="A146" s="57" t="s">
        <v>441</v>
      </c>
      <c r="B146" s="57" t="s">
        <v>442</v>
      </c>
      <c r="C146" s="57" t="s">
        <v>443</v>
      </c>
      <c r="D146" s="57" t="s">
        <v>118</v>
      </c>
      <c r="E146" s="21">
        <v>12.57</v>
      </c>
      <c r="F146" s="6">
        <v>9150</v>
      </c>
      <c r="G146" s="6">
        <v>9150</v>
      </c>
      <c r="H146" s="59">
        <f t="shared" si="5"/>
        <v>0</v>
      </c>
      <c r="I146" s="59">
        <f t="shared" si="6"/>
        <v>0</v>
      </c>
      <c r="J146" s="59">
        <f t="shared" si="7"/>
        <v>0</v>
      </c>
      <c r="K146" s="59">
        <f t="shared" si="8"/>
        <v>0</v>
      </c>
      <c r="L146" s="81">
        <f t="shared" si="9"/>
        <v>115015.5</v>
      </c>
      <c r="M146" s="82" t="s">
        <v>188</v>
      </c>
    </row>
    <row r="147" spans="1:14" ht="31.5">
      <c r="A147" s="57" t="s">
        <v>444</v>
      </c>
      <c r="B147" s="57" t="s">
        <v>442</v>
      </c>
      <c r="C147" s="57" t="s">
        <v>445</v>
      </c>
      <c r="D147" s="57" t="s">
        <v>118</v>
      </c>
      <c r="E147" s="21">
        <v>12.57</v>
      </c>
      <c r="F147" s="6">
        <v>2910</v>
      </c>
      <c r="G147" s="6">
        <v>2910</v>
      </c>
      <c r="H147" s="59">
        <f t="shared" si="5"/>
        <v>0</v>
      </c>
      <c r="I147" s="59">
        <f t="shared" si="6"/>
        <v>0</v>
      </c>
      <c r="J147" s="59">
        <f t="shared" si="7"/>
        <v>0</v>
      </c>
      <c r="K147" s="59">
        <f t="shared" si="8"/>
        <v>0</v>
      </c>
      <c r="L147" s="81">
        <f t="shared" si="9"/>
        <v>36578.699999999997</v>
      </c>
      <c r="M147" s="82" t="s">
        <v>34</v>
      </c>
    </row>
    <row r="148" spans="1:14" s="8" customFormat="1" ht="31.5">
      <c r="A148" s="67" t="s">
        <v>446</v>
      </c>
      <c r="B148" s="67" t="s">
        <v>447</v>
      </c>
      <c r="C148" s="67" t="s">
        <v>448</v>
      </c>
      <c r="D148" s="67" t="s">
        <v>118</v>
      </c>
      <c r="E148" s="9">
        <v>21.67</v>
      </c>
      <c r="F148" s="7">
        <v>6062</v>
      </c>
      <c r="G148" s="7">
        <v>6062</v>
      </c>
      <c r="H148" s="13">
        <f t="shared" ref="H148:H216" si="10">F148-G148</f>
        <v>0</v>
      </c>
      <c r="I148" s="13">
        <f t="shared" ref="I148:I216" si="11">E148*H148</f>
        <v>0</v>
      </c>
      <c r="J148" s="13">
        <f t="shared" ref="J148:J216" si="12">G148-F148</f>
        <v>0</v>
      </c>
      <c r="K148" s="13">
        <f t="shared" ref="K148:K216" si="13">E148*J148</f>
        <v>0</v>
      </c>
      <c r="L148" s="14">
        <f t="shared" ref="L148:L216" si="14">E148*G148</f>
        <v>131363.54</v>
      </c>
      <c r="M148" s="16" t="s">
        <v>733</v>
      </c>
    </row>
    <row r="149" spans="1:14">
      <c r="A149" s="57" t="s">
        <v>449</v>
      </c>
      <c r="B149" s="57" t="s">
        <v>450</v>
      </c>
      <c r="C149" s="57" t="s">
        <v>451</v>
      </c>
      <c r="D149" s="57" t="s">
        <v>452</v>
      </c>
      <c r="E149" s="21">
        <v>45.1</v>
      </c>
      <c r="F149" s="6">
        <v>70</v>
      </c>
      <c r="G149" s="6">
        <v>70</v>
      </c>
      <c r="H149" s="59">
        <f t="shared" si="10"/>
        <v>0</v>
      </c>
      <c r="I149" s="59">
        <f t="shared" si="11"/>
        <v>0</v>
      </c>
      <c r="J149" s="59">
        <f t="shared" si="12"/>
        <v>0</v>
      </c>
      <c r="K149" s="59">
        <f t="shared" si="13"/>
        <v>0</v>
      </c>
      <c r="L149" s="81">
        <f t="shared" si="14"/>
        <v>3157</v>
      </c>
      <c r="M149" s="82" t="s">
        <v>139</v>
      </c>
    </row>
    <row r="150" spans="1:14">
      <c r="A150" s="57" t="s">
        <v>453</v>
      </c>
      <c r="B150" s="57" t="s">
        <v>454</v>
      </c>
      <c r="C150" s="57" t="s">
        <v>455</v>
      </c>
      <c r="D150" s="57" t="s">
        <v>456</v>
      </c>
      <c r="E150" s="21">
        <v>50</v>
      </c>
      <c r="F150" s="6">
        <v>164</v>
      </c>
      <c r="G150" s="6">
        <v>164</v>
      </c>
      <c r="H150" s="59">
        <f t="shared" si="10"/>
        <v>0</v>
      </c>
      <c r="I150" s="59">
        <f t="shared" si="11"/>
        <v>0</v>
      </c>
      <c r="J150" s="59">
        <f t="shared" si="12"/>
        <v>0</v>
      </c>
      <c r="K150" s="59">
        <f t="shared" si="13"/>
        <v>0</v>
      </c>
      <c r="L150" s="81">
        <f t="shared" si="14"/>
        <v>8200</v>
      </c>
      <c r="M150" s="82" t="s">
        <v>130</v>
      </c>
    </row>
    <row r="151" spans="1:14">
      <c r="A151" s="57" t="s">
        <v>457</v>
      </c>
      <c r="B151" s="61" t="s">
        <v>245</v>
      </c>
      <c r="C151" s="57" t="s">
        <v>458</v>
      </c>
      <c r="D151" s="57" t="s">
        <v>459</v>
      </c>
      <c r="E151" s="21">
        <v>378</v>
      </c>
      <c r="F151" s="6">
        <v>100</v>
      </c>
      <c r="G151" s="6">
        <v>100</v>
      </c>
      <c r="H151" s="59">
        <f t="shared" si="10"/>
        <v>0</v>
      </c>
      <c r="I151" s="59">
        <f t="shared" si="11"/>
        <v>0</v>
      </c>
      <c r="J151" s="59">
        <f t="shared" si="12"/>
        <v>0</v>
      </c>
      <c r="K151" s="59">
        <f t="shared" si="13"/>
        <v>0</v>
      </c>
      <c r="L151" s="81">
        <f t="shared" si="14"/>
        <v>37800</v>
      </c>
      <c r="M151" s="82" t="s">
        <v>143</v>
      </c>
    </row>
    <row r="152" spans="1:14">
      <c r="A152" s="57" t="s">
        <v>460</v>
      </c>
      <c r="B152" s="57" t="s">
        <v>461</v>
      </c>
      <c r="C152" s="57" t="s">
        <v>462</v>
      </c>
      <c r="D152" s="57" t="s">
        <v>463</v>
      </c>
      <c r="E152" s="21">
        <v>90</v>
      </c>
      <c r="F152" s="6">
        <v>5</v>
      </c>
      <c r="G152" s="6">
        <v>5</v>
      </c>
      <c r="H152" s="59">
        <f t="shared" si="10"/>
        <v>0</v>
      </c>
      <c r="I152" s="59">
        <f t="shared" si="11"/>
        <v>0</v>
      </c>
      <c r="J152" s="59">
        <f t="shared" si="12"/>
        <v>0</v>
      </c>
      <c r="K152" s="59">
        <f t="shared" si="13"/>
        <v>0</v>
      </c>
      <c r="L152" s="81">
        <f t="shared" si="14"/>
        <v>450</v>
      </c>
      <c r="M152" s="82" t="s">
        <v>48</v>
      </c>
    </row>
    <row r="153" spans="1:14" s="8" customFormat="1">
      <c r="A153" s="20" t="s">
        <v>749</v>
      </c>
      <c r="B153" s="20" t="s">
        <v>417</v>
      </c>
      <c r="C153" s="20" t="s">
        <v>750</v>
      </c>
      <c r="D153" s="20" t="s">
        <v>463</v>
      </c>
      <c r="E153" s="9"/>
      <c r="F153" s="7">
        <v>70</v>
      </c>
      <c r="G153" s="7">
        <v>70</v>
      </c>
      <c r="H153" s="13">
        <f t="shared" si="10"/>
        <v>0</v>
      </c>
      <c r="I153" s="13"/>
      <c r="J153" s="13">
        <f t="shared" si="12"/>
        <v>0</v>
      </c>
      <c r="K153" s="13"/>
      <c r="L153" s="14"/>
      <c r="M153" s="16" t="s">
        <v>721</v>
      </c>
    </row>
    <row r="154" spans="1:14" s="8" customFormat="1" ht="47.25">
      <c r="A154" s="20" t="s">
        <v>464</v>
      </c>
      <c r="B154" s="20" t="s">
        <v>465</v>
      </c>
      <c r="C154" s="20" t="s">
        <v>466</v>
      </c>
      <c r="D154" s="20" t="s">
        <v>467</v>
      </c>
      <c r="E154" s="9">
        <v>160</v>
      </c>
      <c r="F154" s="7">
        <v>60</v>
      </c>
      <c r="G154" s="7">
        <v>60</v>
      </c>
      <c r="H154" s="13">
        <f t="shared" si="10"/>
        <v>0</v>
      </c>
      <c r="I154" s="13">
        <f t="shared" si="11"/>
        <v>0</v>
      </c>
      <c r="J154" s="13">
        <f t="shared" si="12"/>
        <v>0</v>
      </c>
      <c r="K154" s="13">
        <f t="shared" si="13"/>
        <v>0</v>
      </c>
      <c r="L154" s="14">
        <f t="shared" si="14"/>
        <v>9600</v>
      </c>
      <c r="M154" s="16" t="s">
        <v>48</v>
      </c>
    </row>
    <row r="155" spans="1:14" s="8" customFormat="1" ht="31.5">
      <c r="A155" s="20" t="s">
        <v>468</v>
      </c>
      <c r="B155" s="20" t="s">
        <v>469</v>
      </c>
      <c r="C155" s="20" t="s">
        <v>470</v>
      </c>
      <c r="D155" s="20" t="s">
        <v>471</v>
      </c>
      <c r="E155" s="9">
        <v>263</v>
      </c>
      <c r="F155" s="7"/>
      <c r="G155" s="7"/>
      <c r="H155" s="13"/>
      <c r="I155" s="13"/>
      <c r="J155" s="13"/>
      <c r="K155" s="13"/>
      <c r="L155" s="14">
        <f t="shared" si="14"/>
        <v>0</v>
      </c>
      <c r="M155" s="16" t="s">
        <v>48</v>
      </c>
    </row>
    <row r="156" spans="1:14" s="8" customFormat="1" ht="31.5">
      <c r="A156" s="20" t="s">
        <v>472</v>
      </c>
      <c r="B156" s="71" t="s">
        <v>473</v>
      </c>
      <c r="C156" s="20" t="s">
        <v>474</v>
      </c>
      <c r="D156" s="20" t="s">
        <v>84</v>
      </c>
      <c r="E156" s="9">
        <v>279.89</v>
      </c>
      <c r="F156" s="7">
        <v>460</v>
      </c>
      <c r="G156" s="7">
        <v>460</v>
      </c>
      <c r="H156" s="13">
        <f t="shared" si="10"/>
        <v>0</v>
      </c>
      <c r="I156" s="13">
        <f t="shared" si="11"/>
        <v>0</v>
      </c>
      <c r="J156" s="13">
        <f t="shared" si="12"/>
        <v>0</v>
      </c>
      <c r="K156" s="13">
        <f t="shared" si="13"/>
        <v>0</v>
      </c>
      <c r="L156" s="14">
        <f t="shared" si="14"/>
        <v>128749.4</v>
      </c>
      <c r="M156" s="16" t="s">
        <v>24</v>
      </c>
    </row>
    <row r="157" spans="1:14" s="8" customFormat="1">
      <c r="A157" s="20" t="s">
        <v>475</v>
      </c>
      <c r="B157" s="20" t="s">
        <v>476</v>
      </c>
      <c r="C157" s="20" t="s">
        <v>232</v>
      </c>
      <c r="D157" s="20" t="s">
        <v>477</v>
      </c>
      <c r="E157" s="9">
        <v>15</v>
      </c>
      <c r="F157" s="7">
        <v>300</v>
      </c>
      <c r="G157" s="7">
        <v>300</v>
      </c>
      <c r="H157" s="13">
        <f t="shared" si="10"/>
        <v>0</v>
      </c>
      <c r="I157" s="13">
        <f t="shared" si="11"/>
        <v>0</v>
      </c>
      <c r="J157" s="13">
        <f t="shared" si="12"/>
        <v>0</v>
      </c>
      <c r="K157" s="13">
        <f t="shared" si="13"/>
        <v>0</v>
      </c>
      <c r="L157" s="14">
        <f t="shared" si="14"/>
        <v>4500</v>
      </c>
      <c r="M157" s="16" t="s">
        <v>159</v>
      </c>
    </row>
    <row r="158" spans="1:14" s="8" customFormat="1" ht="47.25">
      <c r="A158" s="67" t="s">
        <v>478</v>
      </c>
      <c r="B158" s="67" t="s">
        <v>479</v>
      </c>
      <c r="C158" s="67" t="s">
        <v>480</v>
      </c>
      <c r="D158" s="68" t="s">
        <v>152</v>
      </c>
      <c r="E158" s="9">
        <v>67.400000000000006</v>
      </c>
      <c r="F158" s="7">
        <v>1340</v>
      </c>
      <c r="G158" s="7">
        <v>1340</v>
      </c>
      <c r="H158" s="13">
        <f t="shared" si="10"/>
        <v>0</v>
      </c>
      <c r="I158" s="13">
        <f t="shared" si="11"/>
        <v>0</v>
      </c>
      <c r="J158" s="13">
        <f t="shared" si="12"/>
        <v>0</v>
      </c>
      <c r="K158" s="13">
        <f t="shared" si="13"/>
        <v>0</v>
      </c>
      <c r="L158" s="14">
        <f t="shared" si="14"/>
        <v>90316</v>
      </c>
      <c r="M158" s="16" t="s">
        <v>48</v>
      </c>
      <c r="N158" s="8" t="s">
        <v>751</v>
      </c>
    </row>
    <row r="159" spans="1:14" ht="31.5">
      <c r="A159" s="57" t="s">
        <v>481</v>
      </c>
      <c r="B159" s="61" t="s">
        <v>482</v>
      </c>
      <c r="C159" s="57" t="s">
        <v>483</v>
      </c>
      <c r="D159" s="61" t="s">
        <v>484</v>
      </c>
      <c r="E159" s="21">
        <v>154</v>
      </c>
      <c r="F159" s="6">
        <v>50</v>
      </c>
      <c r="G159" s="6">
        <v>50</v>
      </c>
      <c r="H159" s="59">
        <f t="shared" si="10"/>
        <v>0</v>
      </c>
      <c r="I159" s="59">
        <f t="shared" si="11"/>
        <v>0</v>
      </c>
      <c r="J159" s="59">
        <f t="shared" si="12"/>
        <v>0</v>
      </c>
      <c r="K159" s="59">
        <f t="shared" si="13"/>
        <v>0</v>
      </c>
      <c r="L159" s="81">
        <f t="shared" si="14"/>
        <v>7700</v>
      </c>
      <c r="M159" s="82" t="s">
        <v>312</v>
      </c>
    </row>
    <row r="160" spans="1:14" s="43" customFormat="1" ht="31.5">
      <c r="A160" s="60" t="s">
        <v>485</v>
      </c>
      <c r="B160" s="72" t="s">
        <v>482</v>
      </c>
      <c r="C160" s="60" t="s">
        <v>486</v>
      </c>
      <c r="D160" s="60" t="s">
        <v>487</v>
      </c>
      <c r="E160" s="21">
        <v>85.99</v>
      </c>
      <c r="F160" s="6">
        <v>870</v>
      </c>
      <c r="G160" s="6">
        <v>870</v>
      </c>
      <c r="H160" s="59">
        <f t="shared" si="10"/>
        <v>0</v>
      </c>
      <c r="I160" s="59">
        <f t="shared" si="11"/>
        <v>0</v>
      </c>
      <c r="J160" s="59">
        <f t="shared" si="12"/>
        <v>0</v>
      </c>
      <c r="K160" s="59">
        <f t="shared" si="13"/>
        <v>0</v>
      </c>
      <c r="L160" s="81">
        <f t="shared" si="14"/>
        <v>74811.3</v>
      </c>
      <c r="M160" s="82" t="s">
        <v>24</v>
      </c>
    </row>
    <row r="161" spans="1:13" s="8" customFormat="1" ht="31.5">
      <c r="A161" s="20" t="s">
        <v>488</v>
      </c>
      <c r="B161" s="71" t="s">
        <v>489</v>
      </c>
      <c r="C161" s="20" t="s">
        <v>448</v>
      </c>
      <c r="D161" s="20" t="s">
        <v>118</v>
      </c>
      <c r="E161" s="9">
        <v>0.99</v>
      </c>
      <c r="F161" s="7">
        <v>3600</v>
      </c>
      <c r="G161" s="7">
        <v>3600</v>
      </c>
      <c r="H161" s="13">
        <f t="shared" si="10"/>
        <v>0</v>
      </c>
      <c r="I161" s="13">
        <f t="shared" si="11"/>
        <v>0</v>
      </c>
      <c r="J161" s="13">
        <f t="shared" si="12"/>
        <v>0</v>
      </c>
      <c r="K161" s="13">
        <f t="shared" si="13"/>
        <v>0</v>
      </c>
      <c r="L161" s="14">
        <f t="shared" si="14"/>
        <v>3564</v>
      </c>
      <c r="M161" s="16" t="s">
        <v>642</v>
      </c>
    </row>
    <row r="162" spans="1:13" s="8" customFormat="1">
      <c r="A162" s="20" t="s">
        <v>490</v>
      </c>
      <c r="B162" s="71" t="s">
        <v>491</v>
      </c>
      <c r="C162" s="71" t="s">
        <v>492</v>
      </c>
      <c r="D162" s="20" t="s">
        <v>493</v>
      </c>
      <c r="E162" s="9">
        <v>25.27</v>
      </c>
      <c r="F162" s="7">
        <v>240</v>
      </c>
      <c r="G162" s="7">
        <v>240</v>
      </c>
      <c r="H162" s="13">
        <f t="shared" si="10"/>
        <v>0</v>
      </c>
      <c r="I162" s="13">
        <f t="shared" si="11"/>
        <v>0</v>
      </c>
      <c r="J162" s="13">
        <f t="shared" si="12"/>
        <v>0</v>
      </c>
      <c r="K162" s="13">
        <f t="shared" si="13"/>
        <v>0</v>
      </c>
      <c r="L162" s="14">
        <f t="shared" si="14"/>
        <v>6064.8</v>
      </c>
      <c r="M162" s="16" t="s">
        <v>752</v>
      </c>
    </row>
    <row r="163" spans="1:13" ht="31.5">
      <c r="A163" s="57" t="s">
        <v>495</v>
      </c>
      <c r="B163" s="57" t="s">
        <v>496</v>
      </c>
      <c r="C163" s="57" t="s">
        <v>497</v>
      </c>
      <c r="D163" s="57" t="s">
        <v>484</v>
      </c>
      <c r="E163" s="21">
        <v>754</v>
      </c>
      <c r="F163" s="6">
        <v>27</v>
      </c>
      <c r="G163" s="6">
        <v>27</v>
      </c>
      <c r="H163" s="59">
        <f t="shared" si="10"/>
        <v>0</v>
      </c>
      <c r="I163" s="59">
        <f t="shared" si="11"/>
        <v>0</v>
      </c>
      <c r="J163" s="59">
        <f t="shared" si="12"/>
        <v>0</v>
      </c>
      <c r="K163" s="59">
        <f t="shared" si="13"/>
        <v>0</v>
      </c>
      <c r="L163" s="81">
        <f t="shared" si="14"/>
        <v>20358</v>
      </c>
      <c r="M163" s="82"/>
    </row>
    <row r="164" spans="1:13" s="8" customFormat="1" ht="31.5">
      <c r="A164" s="20" t="s">
        <v>498</v>
      </c>
      <c r="B164" s="20" t="s">
        <v>499</v>
      </c>
      <c r="C164" s="20" t="s">
        <v>500</v>
      </c>
      <c r="D164" s="20" t="s">
        <v>501</v>
      </c>
      <c r="E164" s="9">
        <v>1685</v>
      </c>
      <c r="F164" s="7">
        <v>33</v>
      </c>
      <c r="G164" s="7">
        <v>28</v>
      </c>
      <c r="H164" s="13">
        <f t="shared" si="10"/>
        <v>5</v>
      </c>
      <c r="I164" s="13">
        <f t="shared" si="11"/>
        <v>8425</v>
      </c>
      <c r="J164" s="13">
        <f t="shared" si="12"/>
        <v>-5</v>
      </c>
      <c r="K164" s="13">
        <f t="shared" si="13"/>
        <v>-8425</v>
      </c>
      <c r="L164" s="14">
        <f t="shared" si="14"/>
        <v>47180</v>
      </c>
      <c r="M164" s="16" t="s">
        <v>502</v>
      </c>
    </row>
    <row r="165" spans="1:13">
      <c r="A165" s="57" t="s">
        <v>503</v>
      </c>
      <c r="B165" s="57" t="s">
        <v>504</v>
      </c>
      <c r="C165" s="57" t="s">
        <v>27</v>
      </c>
      <c r="D165" s="57" t="s">
        <v>152</v>
      </c>
      <c r="E165" s="21">
        <v>1015.3</v>
      </c>
      <c r="F165" s="6">
        <v>110</v>
      </c>
      <c r="G165" s="6">
        <v>110</v>
      </c>
      <c r="H165" s="59">
        <f t="shared" si="10"/>
        <v>0</v>
      </c>
      <c r="I165" s="59">
        <f t="shared" si="11"/>
        <v>0</v>
      </c>
      <c r="J165" s="59">
        <f t="shared" si="12"/>
        <v>0</v>
      </c>
      <c r="K165" s="59">
        <f t="shared" si="13"/>
        <v>0</v>
      </c>
      <c r="L165" s="81">
        <f t="shared" si="14"/>
        <v>111683</v>
      </c>
      <c r="M165" s="82" t="s">
        <v>19</v>
      </c>
    </row>
    <row r="166" spans="1:13" s="8" customFormat="1" ht="31.5">
      <c r="A166" s="20" t="s">
        <v>505</v>
      </c>
      <c r="B166" s="20" t="s">
        <v>506</v>
      </c>
      <c r="C166" s="20" t="s">
        <v>146</v>
      </c>
      <c r="D166" s="20" t="s">
        <v>185</v>
      </c>
      <c r="E166" s="9">
        <v>3.2</v>
      </c>
      <c r="F166" s="7">
        <v>1500</v>
      </c>
      <c r="G166" s="7">
        <v>1500</v>
      </c>
      <c r="H166" s="13">
        <f t="shared" si="10"/>
        <v>0</v>
      </c>
      <c r="I166" s="13">
        <f t="shared" si="11"/>
        <v>0</v>
      </c>
      <c r="J166" s="13">
        <f t="shared" si="12"/>
        <v>0</v>
      </c>
      <c r="K166" s="13">
        <f t="shared" si="13"/>
        <v>0</v>
      </c>
      <c r="L166" s="14">
        <f t="shared" si="14"/>
        <v>4800</v>
      </c>
      <c r="M166" s="16" t="s">
        <v>124</v>
      </c>
    </row>
    <row r="167" spans="1:13" s="8" customFormat="1">
      <c r="A167" s="67" t="s">
        <v>507</v>
      </c>
      <c r="B167" s="68" t="s">
        <v>508</v>
      </c>
      <c r="C167" s="67" t="s">
        <v>509</v>
      </c>
      <c r="D167" s="67" t="s">
        <v>185</v>
      </c>
      <c r="E167" s="9">
        <v>4</v>
      </c>
      <c r="F167" s="7">
        <v>2610</v>
      </c>
      <c r="G167" s="7">
        <v>2610</v>
      </c>
      <c r="H167" s="13">
        <f t="shared" si="10"/>
        <v>0</v>
      </c>
      <c r="I167" s="13">
        <f t="shared" si="11"/>
        <v>0</v>
      </c>
      <c r="J167" s="13">
        <f t="shared" si="12"/>
        <v>0</v>
      </c>
      <c r="K167" s="13">
        <f t="shared" si="13"/>
        <v>0</v>
      </c>
      <c r="L167" s="14">
        <f t="shared" si="14"/>
        <v>10440</v>
      </c>
      <c r="M167" s="16" t="s">
        <v>510</v>
      </c>
    </row>
    <row r="168" spans="1:13" s="8" customFormat="1" ht="31.5">
      <c r="A168" s="67" t="s">
        <v>753</v>
      </c>
      <c r="B168" s="68" t="s">
        <v>754</v>
      </c>
      <c r="C168" s="67" t="s">
        <v>755</v>
      </c>
      <c r="D168" s="67" t="s">
        <v>756</v>
      </c>
      <c r="E168" s="9"/>
      <c r="F168" s="7"/>
      <c r="G168" s="7"/>
      <c r="H168" s="13"/>
      <c r="I168" s="13"/>
      <c r="J168" s="13"/>
      <c r="K168" s="13"/>
      <c r="L168" s="14"/>
      <c r="M168" s="16"/>
    </row>
    <row r="169" spans="1:13" ht="31.5">
      <c r="A169" s="57" t="s">
        <v>511</v>
      </c>
      <c r="B169" s="57" t="s">
        <v>512</v>
      </c>
      <c r="C169" s="57" t="s">
        <v>513</v>
      </c>
      <c r="D169" s="57" t="s">
        <v>514</v>
      </c>
      <c r="E169" s="21">
        <v>28030</v>
      </c>
      <c r="F169" s="6">
        <v>5</v>
      </c>
      <c r="G169" s="6">
        <v>5</v>
      </c>
      <c r="H169" s="59">
        <f t="shared" si="10"/>
        <v>0</v>
      </c>
      <c r="I169" s="59">
        <f t="shared" si="11"/>
        <v>0</v>
      </c>
      <c r="J169" s="59">
        <f t="shared" si="12"/>
        <v>0</v>
      </c>
      <c r="K169" s="59">
        <f t="shared" si="13"/>
        <v>0</v>
      </c>
      <c r="L169" s="81">
        <f t="shared" si="14"/>
        <v>140150</v>
      </c>
      <c r="M169" s="82" t="s">
        <v>336</v>
      </c>
    </row>
    <row r="170" spans="1:13" ht="31.5">
      <c r="A170" s="57" t="s">
        <v>515</v>
      </c>
      <c r="B170" s="61" t="s">
        <v>516</v>
      </c>
      <c r="C170" s="57" t="s">
        <v>517</v>
      </c>
      <c r="D170" s="57" t="s">
        <v>518</v>
      </c>
      <c r="E170" s="21">
        <v>140</v>
      </c>
      <c r="F170" s="6">
        <v>185</v>
      </c>
      <c r="G170" s="6">
        <v>185</v>
      </c>
      <c r="H170" s="59">
        <f t="shared" si="10"/>
        <v>0</v>
      </c>
      <c r="I170" s="59">
        <f t="shared" si="11"/>
        <v>0</v>
      </c>
      <c r="J170" s="59">
        <f t="shared" si="12"/>
        <v>0</v>
      </c>
      <c r="K170" s="59">
        <f t="shared" si="13"/>
        <v>0</v>
      </c>
      <c r="L170" s="81">
        <f t="shared" si="14"/>
        <v>25900</v>
      </c>
      <c r="M170" s="82" t="s">
        <v>139</v>
      </c>
    </row>
    <row r="171" spans="1:13" ht="47.25">
      <c r="A171" s="60" t="s">
        <v>519</v>
      </c>
      <c r="B171" s="60" t="s">
        <v>520</v>
      </c>
      <c r="C171" s="60" t="s">
        <v>521</v>
      </c>
      <c r="D171" s="60" t="s">
        <v>522</v>
      </c>
      <c r="E171" s="21">
        <v>79</v>
      </c>
      <c r="F171" s="6">
        <v>2600</v>
      </c>
      <c r="G171" s="6">
        <v>2600</v>
      </c>
      <c r="H171" s="59">
        <f t="shared" si="10"/>
        <v>0</v>
      </c>
      <c r="I171" s="59">
        <f t="shared" si="11"/>
        <v>0</v>
      </c>
      <c r="J171" s="59">
        <f t="shared" si="12"/>
        <v>0</v>
      </c>
      <c r="K171" s="59">
        <f t="shared" si="13"/>
        <v>0</v>
      </c>
      <c r="L171" s="81">
        <f t="shared" si="14"/>
        <v>205400</v>
      </c>
      <c r="M171" s="82" t="s">
        <v>757</v>
      </c>
    </row>
    <row r="172" spans="1:13" s="8" customFormat="1" ht="31.5">
      <c r="A172" s="20" t="s">
        <v>523</v>
      </c>
      <c r="B172" s="71" t="s">
        <v>524</v>
      </c>
      <c r="C172" s="20" t="s">
        <v>525</v>
      </c>
      <c r="D172" s="20" t="s">
        <v>250</v>
      </c>
      <c r="E172" s="9">
        <v>92.69</v>
      </c>
      <c r="F172" s="7">
        <v>700</v>
      </c>
      <c r="G172" s="7">
        <v>700</v>
      </c>
      <c r="H172" s="13">
        <f t="shared" si="10"/>
        <v>0</v>
      </c>
      <c r="I172" s="13">
        <f t="shared" si="11"/>
        <v>0</v>
      </c>
      <c r="J172" s="13">
        <f t="shared" si="12"/>
        <v>0</v>
      </c>
      <c r="K172" s="13">
        <f t="shared" si="13"/>
        <v>0</v>
      </c>
      <c r="L172" s="14">
        <f t="shared" si="14"/>
        <v>64883</v>
      </c>
      <c r="M172" s="16" t="s">
        <v>526</v>
      </c>
    </row>
    <row r="173" spans="1:13" ht="78.75">
      <c r="A173" s="57" t="s">
        <v>527</v>
      </c>
      <c r="B173" s="89" t="s">
        <v>528</v>
      </c>
      <c r="C173" s="20" t="s">
        <v>529</v>
      </c>
      <c r="D173" s="20" t="s">
        <v>530</v>
      </c>
      <c r="E173" s="90">
        <v>7</v>
      </c>
      <c r="F173" s="13">
        <v>2600</v>
      </c>
      <c r="G173" s="13">
        <v>2600</v>
      </c>
      <c r="H173" s="13">
        <f t="shared" si="10"/>
        <v>0</v>
      </c>
      <c r="I173" s="13">
        <f t="shared" si="11"/>
        <v>0</v>
      </c>
      <c r="J173" s="13">
        <f t="shared" si="12"/>
        <v>0</v>
      </c>
      <c r="K173" s="13">
        <f t="shared" si="13"/>
        <v>0</v>
      </c>
      <c r="L173" s="92">
        <f t="shared" si="14"/>
        <v>18200</v>
      </c>
      <c r="M173" s="16" t="s">
        <v>197</v>
      </c>
    </row>
    <row r="174" spans="1:13" s="8" customFormat="1" ht="31.5">
      <c r="A174" s="67" t="s">
        <v>531</v>
      </c>
      <c r="B174" s="67" t="s">
        <v>532</v>
      </c>
      <c r="C174" s="67" t="s">
        <v>533</v>
      </c>
      <c r="D174" s="67" t="s">
        <v>118</v>
      </c>
      <c r="E174" s="9">
        <v>4.74</v>
      </c>
      <c r="F174" s="7">
        <v>3800</v>
      </c>
      <c r="G174" s="7">
        <v>3800</v>
      </c>
      <c r="H174" s="13">
        <f t="shared" si="10"/>
        <v>0</v>
      </c>
      <c r="I174" s="13">
        <f t="shared" si="11"/>
        <v>0</v>
      </c>
      <c r="J174" s="13">
        <f t="shared" si="12"/>
        <v>0</v>
      </c>
      <c r="K174" s="13">
        <f t="shared" si="13"/>
        <v>0</v>
      </c>
      <c r="L174" s="14">
        <f t="shared" si="14"/>
        <v>18012</v>
      </c>
      <c r="M174" s="16" t="s">
        <v>159</v>
      </c>
    </row>
    <row r="175" spans="1:13" ht="63">
      <c r="A175" s="60" t="s">
        <v>534</v>
      </c>
      <c r="B175" s="60" t="s">
        <v>535</v>
      </c>
      <c r="C175" s="60" t="s">
        <v>536</v>
      </c>
      <c r="D175" s="60" t="s">
        <v>537</v>
      </c>
      <c r="E175" s="21">
        <v>524</v>
      </c>
      <c r="F175" s="6">
        <v>30</v>
      </c>
      <c r="G175" s="6">
        <v>30</v>
      </c>
      <c r="H175" s="59">
        <f t="shared" si="10"/>
        <v>0</v>
      </c>
      <c r="I175" s="59">
        <f t="shared" si="11"/>
        <v>0</v>
      </c>
      <c r="J175" s="59">
        <f t="shared" si="12"/>
        <v>0</v>
      </c>
      <c r="K175" s="59">
        <f t="shared" si="13"/>
        <v>0</v>
      </c>
      <c r="L175" s="81">
        <f t="shared" si="14"/>
        <v>15720</v>
      </c>
      <c r="M175" s="82" t="s">
        <v>24</v>
      </c>
    </row>
    <row r="176" spans="1:13">
      <c r="A176" s="57"/>
      <c r="B176" s="61" t="s">
        <v>538</v>
      </c>
      <c r="C176" s="57" t="s">
        <v>539</v>
      </c>
      <c r="D176" s="57" t="s">
        <v>185</v>
      </c>
      <c r="E176" s="21">
        <v>0.9</v>
      </c>
      <c r="F176" s="6">
        <v>3200</v>
      </c>
      <c r="G176" s="6">
        <v>3200</v>
      </c>
      <c r="H176" s="59">
        <f t="shared" si="10"/>
        <v>0</v>
      </c>
      <c r="I176" s="59">
        <f t="shared" si="11"/>
        <v>0</v>
      </c>
      <c r="J176" s="59">
        <f t="shared" si="12"/>
        <v>0</v>
      </c>
      <c r="K176" s="59">
        <f t="shared" si="13"/>
        <v>0</v>
      </c>
      <c r="L176" s="81">
        <f t="shared" si="14"/>
        <v>2880</v>
      </c>
      <c r="M176" s="82" t="s">
        <v>540</v>
      </c>
    </row>
    <row r="177" spans="1:13" ht="31.5">
      <c r="A177" s="57" t="s">
        <v>541</v>
      </c>
      <c r="B177" s="61" t="s">
        <v>516</v>
      </c>
      <c r="C177" s="57" t="s">
        <v>542</v>
      </c>
      <c r="D177" s="57" t="s">
        <v>118</v>
      </c>
      <c r="E177" s="21">
        <v>14.67</v>
      </c>
      <c r="F177" s="6">
        <v>1050</v>
      </c>
      <c r="G177" s="6">
        <v>1050</v>
      </c>
      <c r="H177" s="59">
        <f t="shared" si="10"/>
        <v>0</v>
      </c>
      <c r="I177" s="59">
        <f t="shared" si="11"/>
        <v>0</v>
      </c>
      <c r="J177" s="59">
        <f t="shared" si="12"/>
        <v>0</v>
      </c>
      <c r="K177" s="59">
        <f t="shared" si="13"/>
        <v>0</v>
      </c>
      <c r="L177" s="81">
        <f t="shared" si="14"/>
        <v>15403.5</v>
      </c>
      <c r="M177" s="82" t="s">
        <v>289</v>
      </c>
    </row>
    <row r="178" spans="1:13" ht="31.5">
      <c r="A178" s="57" t="s">
        <v>543</v>
      </c>
      <c r="B178" s="57" t="s">
        <v>544</v>
      </c>
      <c r="C178" s="73" t="s">
        <v>545</v>
      </c>
      <c r="D178" s="57" t="s">
        <v>546</v>
      </c>
      <c r="E178" s="21">
        <v>13</v>
      </c>
      <c r="F178" s="6">
        <v>300</v>
      </c>
      <c r="G178" s="6">
        <v>300</v>
      </c>
      <c r="H178" s="59">
        <f t="shared" si="10"/>
        <v>0</v>
      </c>
      <c r="I178" s="59">
        <f t="shared" si="11"/>
        <v>0</v>
      </c>
      <c r="J178" s="59">
        <f t="shared" si="12"/>
        <v>0</v>
      </c>
      <c r="K178" s="59">
        <f t="shared" si="13"/>
        <v>0</v>
      </c>
      <c r="L178" s="81">
        <f t="shared" si="14"/>
        <v>3900</v>
      </c>
      <c r="M178" s="82" t="s">
        <v>139</v>
      </c>
    </row>
    <row r="179" spans="1:13" ht="31.5">
      <c r="A179" s="57" t="s">
        <v>547</v>
      </c>
      <c r="B179" s="57" t="s">
        <v>548</v>
      </c>
      <c r="C179" s="57" t="s">
        <v>549</v>
      </c>
      <c r="D179" s="61" t="s">
        <v>550</v>
      </c>
      <c r="E179" s="21">
        <v>2750</v>
      </c>
      <c r="F179" s="6">
        <v>0</v>
      </c>
      <c r="G179" s="6">
        <v>0</v>
      </c>
      <c r="H179" s="59">
        <f t="shared" si="10"/>
        <v>0</v>
      </c>
      <c r="I179" s="59">
        <f t="shared" si="11"/>
        <v>0</v>
      </c>
      <c r="J179" s="59">
        <f t="shared" si="12"/>
        <v>0</v>
      </c>
      <c r="K179" s="59">
        <f t="shared" si="13"/>
        <v>0</v>
      </c>
      <c r="L179" s="81">
        <f t="shared" si="14"/>
        <v>0</v>
      </c>
      <c r="M179" s="82" t="s">
        <v>135</v>
      </c>
    </row>
    <row r="180" spans="1:13">
      <c r="A180" s="60" t="s">
        <v>551</v>
      </c>
      <c r="B180" s="60" t="s">
        <v>552</v>
      </c>
      <c r="C180" s="60" t="s">
        <v>553</v>
      </c>
      <c r="D180" s="72" t="s">
        <v>550</v>
      </c>
      <c r="E180" s="21">
        <v>899</v>
      </c>
      <c r="F180" s="6">
        <v>4</v>
      </c>
      <c r="G180" s="6">
        <v>4</v>
      </c>
      <c r="H180" s="59">
        <f t="shared" si="10"/>
        <v>0</v>
      </c>
      <c r="I180" s="59">
        <f t="shared" si="11"/>
        <v>0</v>
      </c>
      <c r="J180" s="59">
        <f t="shared" si="12"/>
        <v>0</v>
      </c>
      <c r="K180" s="59">
        <f t="shared" si="13"/>
        <v>0</v>
      </c>
      <c r="L180" s="81">
        <f t="shared" si="14"/>
        <v>3596</v>
      </c>
      <c r="M180" s="82" t="s">
        <v>554</v>
      </c>
    </row>
    <row r="181" spans="1:13" ht="31.5">
      <c r="A181" s="57" t="s">
        <v>555</v>
      </c>
      <c r="B181" s="57" t="s">
        <v>556</v>
      </c>
      <c r="C181" s="57" t="s">
        <v>557</v>
      </c>
      <c r="D181" s="57" t="s">
        <v>558</v>
      </c>
      <c r="E181" s="21">
        <v>100</v>
      </c>
      <c r="F181" s="6">
        <v>30</v>
      </c>
      <c r="G181" s="6">
        <v>30</v>
      </c>
      <c r="H181" s="59">
        <f t="shared" si="10"/>
        <v>0</v>
      </c>
      <c r="I181" s="59">
        <f t="shared" si="11"/>
        <v>0</v>
      </c>
      <c r="J181" s="59">
        <f t="shared" si="12"/>
        <v>0</v>
      </c>
      <c r="K181" s="59">
        <f t="shared" si="13"/>
        <v>0</v>
      </c>
      <c r="L181" s="81">
        <f t="shared" si="14"/>
        <v>3000</v>
      </c>
      <c r="M181" s="82" t="s">
        <v>188</v>
      </c>
    </row>
    <row r="182" spans="1:13" s="8" customFormat="1">
      <c r="A182" s="20" t="s">
        <v>559</v>
      </c>
      <c r="B182" s="20" t="s">
        <v>556</v>
      </c>
      <c r="C182" s="20" t="s">
        <v>560</v>
      </c>
      <c r="D182" s="20" t="s">
        <v>561</v>
      </c>
      <c r="E182" s="9">
        <v>340</v>
      </c>
      <c r="F182" s="7">
        <v>525</v>
      </c>
      <c r="G182" s="7">
        <v>525</v>
      </c>
      <c r="H182" s="13">
        <f t="shared" si="10"/>
        <v>0</v>
      </c>
      <c r="I182" s="13">
        <f t="shared" si="11"/>
        <v>0</v>
      </c>
      <c r="J182" s="13">
        <f t="shared" si="12"/>
        <v>0</v>
      </c>
      <c r="K182" s="13">
        <f t="shared" si="13"/>
        <v>0</v>
      </c>
      <c r="L182" s="14">
        <f t="shared" si="14"/>
        <v>178500</v>
      </c>
      <c r="M182" s="16" t="s">
        <v>52</v>
      </c>
    </row>
    <row r="183" spans="1:13" s="43" customFormat="1" ht="47.25">
      <c r="A183" s="60" t="s">
        <v>562</v>
      </c>
      <c r="B183" s="60" t="s">
        <v>694</v>
      </c>
      <c r="C183" s="60" t="s">
        <v>564</v>
      </c>
      <c r="D183" s="60" t="s">
        <v>487</v>
      </c>
      <c r="E183" s="21">
        <v>4418.5</v>
      </c>
      <c r="F183" s="6">
        <v>8</v>
      </c>
      <c r="G183" s="6">
        <v>8</v>
      </c>
      <c r="H183" s="6">
        <f t="shared" si="10"/>
        <v>0</v>
      </c>
      <c r="I183" s="6">
        <f t="shared" si="11"/>
        <v>0</v>
      </c>
      <c r="J183" s="6">
        <f t="shared" si="12"/>
        <v>0</v>
      </c>
      <c r="K183" s="6">
        <f t="shared" si="13"/>
        <v>0</v>
      </c>
      <c r="L183" s="45">
        <f t="shared" si="14"/>
        <v>35348</v>
      </c>
      <c r="M183" s="46" t="s">
        <v>143</v>
      </c>
    </row>
    <row r="184" spans="1:13" s="8" customFormat="1" ht="31.5">
      <c r="A184" s="20" t="s">
        <v>565</v>
      </c>
      <c r="B184" s="20" t="s">
        <v>566</v>
      </c>
      <c r="C184" s="20" t="s">
        <v>567</v>
      </c>
      <c r="D184" s="20" t="s">
        <v>23</v>
      </c>
      <c r="E184" s="9">
        <v>63</v>
      </c>
      <c r="F184" s="7">
        <v>500</v>
      </c>
      <c r="G184" s="7">
        <v>500</v>
      </c>
      <c r="H184" s="13">
        <f t="shared" si="10"/>
        <v>0</v>
      </c>
      <c r="I184" s="13">
        <f t="shared" si="11"/>
        <v>0</v>
      </c>
      <c r="J184" s="13">
        <f t="shared" si="12"/>
        <v>0</v>
      </c>
      <c r="K184" s="13">
        <f t="shared" si="13"/>
        <v>0</v>
      </c>
      <c r="L184" s="14">
        <f t="shared" si="14"/>
        <v>31500</v>
      </c>
      <c r="M184" s="16" t="s">
        <v>19</v>
      </c>
    </row>
    <row r="185" spans="1:13">
      <c r="A185" s="57" t="s">
        <v>568</v>
      </c>
      <c r="B185" s="57" t="s">
        <v>569</v>
      </c>
      <c r="C185" s="57" t="s">
        <v>570</v>
      </c>
      <c r="D185" s="57" t="s">
        <v>571</v>
      </c>
      <c r="E185" s="21">
        <v>58</v>
      </c>
      <c r="F185" s="6">
        <v>870</v>
      </c>
      <c r="G185" s="6">
        <v>870</v>
      </c>
      <c r="H185" s="59">
        <f t="shared" si="10"/>
        <v>0</v>
      </c>
      <c r="I185" s="59">
        <f t="shared" si="11"/>
        <v>0</v>
      </c>
      <c r="J185" s="59">
        <f t="shared" si="12"/>
        <v>0</v>
      </c>
      <c r="K185" s="59">
        <f t="shared" si="13"/>
        <v>0</v>
      </c>
      <c r="L185" s="81">
        <f t="shared" si="14"/>
        <v>50460</v>
      </c>
      <c r="M185" s="82" t="s">
        <v>166</v>
      </c>
    </row>
    <row r="186" spans="1:13" ht="47.25">
      <c r="A186" s="57" t="s">
        <v>572</v>
      </c>
      <c r="B186" s="57" t="s">
        <v>569</v>
      </c>
      <c r="C186" s="57" t="s">
        <v>573</v>
      </c>
      <c r="D186" s="57" t="s">
        <v>574</v>
      </c>
      <c r="E186" s="21">
        <v>58</v>
      </c>
      <c r="F186" s="6">
        <v>630</v>
      </c>
      <c r="G186" s="6">
        <v>630</v>
      </c>
      <c r="H186" s="59">
        <f t="shared" si="10"/>
        <v>0</v>
      </c>
      <c r="I186" s="59">
        <f t="shared" si="11"/>
        <v>0</v>
      </c>
      <c r="J186" s="59">
        <f t="shared" si="12"/>
        <v>0</v>
      </c>
      <c r="K186" s="59">
        <f t="shared" si="13"/>
        <v>0</v>
      </c>
      <c r="L186" s="81">
        <f t="shared" si="14"/>
        <v>36540</v>
      </c>
      <c r="M186" s="82" t="s">
        <v>575</v>
      </c>
    </row>
    <row r="187" spans="1:13">
      <c r="A187" s="57" t="s">
        <v>576</v>
      </c>
      <c r="B187" s="61" t="s">
        <v>569</v>
      </c>
      <c r="C187" s="57" t="s">
        <v>577</v>
      </c>
      <c r="D187" s="57" t="s">
        <v>23</v>
      </c>
      <c r="E187" s="21">
        <v>55</v>
      </c>
      <c r="F187" s="6">
        <v>190</v>
      </c>
      <c r="G187" s="6">
        <v>190</v>
      </c>
      <c r="H187" s="59">
        <f t="shared" si="10"/>
        <v>0</v>
      </c>
      <c r="I187" s="59">
        <f t="shared" si="11"/>
        <v>0</v>
      </c>
      <c r="J187" s="59">
        <f t="shared" si="12"/>
        <v>0</v>
      </c>
      <c r="K187" s="59">
        <f t="shared" si="13"/>
        <v>0</v>
      </c>
      <c r="L187" s="81">
        <f t="shared" si="14"/>
        <v>10450</v>
      </c>
      <c r="M187" s="82" t="s">
        <v>578</v>
      </c>
    </row>
    <row r="188" spans="1:13" ht="63">
      <c r="A188" s="60" t="s">
        <v>579</v>
      </c>
      <c r="B188" s="60" t="s">
        <v>580</v>
      </c>
      <c r="C188" s="60" t="s">
        <v>581</v>
      </c>
      <c r="D188" s="60" t="s">
        <v>582</v>
      </c>
      <c r="E188" s="21">
        <v>58</v>
      </c>
      <c r="F188" s="6">
        <v>3930</v>
      </c>
      <c r="G188" s="6">
        <v>3930</v>
      </c>
      <c r="H188" s="59">
        <f t="shared" si="10"/>
        <v>0</v>
      </c>
      <c r="I188" s="59">
        <f t="shared" si="11"/>
        <v>0</v>
      </c>
      <c r="J188" s="59">
        <f t="shared" si="12"/>
        <v>0</v>
      </c>
      <c r="K188" s="59">
        <f t="shared" si="13"/>
        <v>0</v>
      </c>
      <c r="L188" s="81">
        <f t="shared" si="14"/>
        <v>227940</v>
      </c>
      <c r="M188" s="82" t="s">
        <v>583</v>
      </c>
    </row>
    <row r="189" spans="1:13" s="42" customFormat="1">
      <c r="A189" s="62" t="s">
        <v>584</v>
      </c>
      <c r="B189" s="62" t="s">
        <v>585</v>
      </c>
      <c r="C189" s="62" t="s">
        <v>586</v>
      </c>
      <c r="D189" s="62" t="s">
        <v>561</v>
      </c>
      <c r="E189" s="91">
        <v>53</v>
      </c>
      <c r="F189" s="65">
        <v>4776</v>
      </c>
      <c r="G189" s="65">
        <v>4756</v>
      </c>
      <c r="H189" s="66">
        <f t="shared" si="10"/>
        <v>20</v>
      </c>
      <c r="I189" s="66">
        <f t="shared" si="11"/>
        <v>1060</v>
      </c>
      <c r="J189" s="66">
        <f t="shared" si="12"/>
        <v>-20</v>
      </c>
      <c r="K189" s="66">
        <f t="shared" si="13"/>
        <v>-1060</v>
      </c>
      <c r="L189" s="83">
        <f t="shared" si="14"/>
        <v>252068</v>
      </c>
      <c r="M189" s="84" t="s">
        <v>587</v>
      </c>
    </row>
    <row r="190" spans="1:13" ht="31.5">
      <c r="A190" s="57"/>
      <c r="B190" s="57" t="s">
        <v>585</v>
      </c>
      <c r="C190" s="57" t="s">
        <v>586</v>
      </c>
      <c r="D190" s="57" t="s">
        <v>588</v>
      </c>
      <c r="E190" s="21">
        <v>400</v>
      </c>
      <c r="F190" s="6">
        <v>80</v>
      </c>
      <c r="G190" s="6">
        <v>80</v>
      </c>
      <c r="H190" s="59">
        <f t="shared" si="10"/>
        <v>0</v>
      </c>
      <c r="I190" s="59">
        <f t="shared" si="11"/>
        <v>0</v>
      </c>
      <c r="J190" s="59">
        <f t="shared" si="12"/>
        <v>0</v>
      </c>
      <c r="K190" s="59">
        <f t="shared" si="13"/>
        <v>0</v>
      </c>
      <c r="L190" s="81">
        <f t="shared" si="14"/>
        <v>32000</v>
      </c>
      <c r="M190" s="82" t="s">
        <v>48</v>
      </c>
    </row>
    <row r="191" spans="1:13" ht="31.5">
      <c r="A191" s="57"/>
      <c r="B191" s="57" t="s">
        <v>585</v>
      </c>
      <c r="C191" s="57" t="s">
        <v>586</v>
      </c>
      <c r="D191" s="57" t="s">
        <v>589</v>
      </c>
      <c r="E191" s="21">
        <v>800</v>
      </c>
      <c r="F191" s="6">
        <v>80</v>
      </c>
      <c r="G191" s="6">
        <v>80</v>
      </c>
      <c r="H191" s="59">
        <f t="shared" si="10"/>
        <v>0</v>
      </c>
      <c r="I191" s="59">
        <f t="shared" si="11"/>
        <v>0</v>
      </c>
      <c r="J191" s="59">
        <f t="shared" si="12"/>
        <v>0</v>
      </c>
      <c r="K191" s="59">
        <f t="shared" si="13"/>
        <v>0</v>
      </c>
      <c r="L191" s="81">
        <f t="shared" si="14"/>
        <v>64000</v>
      </c>
      <c r="M191" s="82" t="s">
        <v>78</v>
      </c>
    </row>
    <row r="192" spans="1:13" s="42" customFormat="1">
      <c r="A192" s="69" t="s">
        <v>758</v>
      </c>
      <c r="B192" s="69" t="s">
        <v>759</v>
      </c>
      <c r="C192" s="69" t="s">
        <v>760</v>
      </c>
      <c r="D192" s="70" t="s">
        <v>23</v>
      </c>
      <c r="E192" s="91"/>
      <c r="F192" s="65">
        <v>3950</v>
      </c>
      <c r="G192" s="65">
        <v>3950</v>
      </c>
      <c r="H192" s="66">
        <f t="shared" si="10"/>
        <v>0</v>
      </c>
      <c r="I192" s="66"/>
      <c r="J192" s="66">
        <f t="shared" si="12"/>
        <v>0</v>
      </c>
      <c r="K192" s="66"/>
      <c r="L192" s="83"/>
      <c r="M192" s="84"/>
    </row>
    <row r="193" spans="1:13" s="8" customFormat="1">
      <c r="A193" s="20" t="s">
        <v>590</v>
      </c>
      <c r="B193" s="20" t="s">
        <v>591</v>
      </c>
      <c r="C193" s="20" t="s">
        <v>592</v>
      </c>
      <c r="D193" s="20" t="s">
        <v>185</v>
      </c>
      <c r="E193" s="9">
        <v>19</v>
      </c>
      <c r="F193" s="7">
        <v>600</v>
      </c>
      <c r="G193" s="7">
        <v>600</v>
      </c>
      <c r="H193" s="13">
        <f t="shared" si="10"/>
        <v>0</v>
      </c>
      <c r="I193" s="13">
        <f t="shared" si="11"/>
        <v>0</v>
      </c>
      <c r="J193" s="13">
        <f t="shared" si="12"/>
        <v>0</v>
      </c>
      <c r="K193" s="13">
        <f t="shared" si="13"/>
        <v>0</v>
      </c>
      <c r="L193" s="14">
        <f t="shared" si="14"/>
        <v>11400</v>
      </c>
      <c r="M193" s="16" t="s">
        <v>124</v>
      </c>
    </row>
    <row r="194" spans="1:13">
      <c r="A194" s="57" t="s">
        <v>593</v>
      </c>
      <c r="B194" s="57" t="s">
        <v>585</v>
      </c>
      <c r="C194" s="57" t="s">
        <v>594</v>
      </c>
      <c r="D194" s="57" t="s">
        <v>595</v>
      </c>
      <c r="E194" s="21">
        <v>490</v>
      </c>
      <c r="F194" s="6">
        <v>1150</v>
      </c>
      <c r="G194" s="6">
        <v>1150</v>
      </c>
      <c r="H194" s="59">
        <f t="shared" si="10"/>
        <v>0</v>
      </c>
      <c r="I194" s="59">
        <f t="shared" si="11"/>
        <v>0</v>
      </c>
      <c r="J194" s="59">
        <f t="shared" si="12"/>
        <v>0</v>
      </c>
      <c r="K194" s="59">
        <f t="shared" si="13"/>
        <v>0</v>
      </c>
      <c r="L194" s="81">
        <f t="shared" si="14"/>
        <v>563500</v>
      </c>
      <c r="M194" s="82" t="s">
        <v>596</v>
      </c>
    </row>
    <row r="195" spans="1:13">
      <c r="A195" s="57" t="s">
        <v>597</v>
      </c>
      <c r="B195" s="57" t="s">
        <v>598</v>
      </c>
      <c r="C195" s="57" t="s">
        <v>599</v>
      </c>
      <c r="D195" s="57" t="s">
        <v>114</v>
      </c>
      <c r="E195" s="21">
        <v>2900</v>
      </c>
      <c r="F195" s="6">
        <v>1</v>
      </c>
      <c r="G195" s="6">
        <v>1</v>
      </c>
      <c r="H195" s="59">
        <f t="shared" si="10"/>
        <v>0</v>
      </c>
      <c r="I195" s="59">
        <f t="shared" si="11"/>
        <v>0</v>
      </c>
      <c r="J195" s="59">
        <f t="shared" si="12"/>
        <v>0</v>
      </c>
      <c r="K195" s="59">
        <f t="shared" si="13"/>
        <v>0</v>
      </c>
      <c r="L195" s="81">
        <f t="shared" si="14"/>
        <v>2900</v>
      </c>
      <c r="M195" s="82" t="s">
        <v>29</v>
      </c>
    </row>
    <row r="196" spans="1:13" ht="31.5">
      <c r="A196" s="57" t="s">
        <v>600</v>
      </c>
      <c r="B196" s="57" t="s">
        <v>601</v>
      </c>
      <c r="C196" s="57" t="s">
        <v>602</v>
      </c>
      <c r="D196" s="57" t="s">
        <v>603</v>
      </c>
      <c r="E196" s="21">
        <v>6500</v>
      </c>
      <c r="F196" s="6">
        <v>40</v>
      </c>
      <c r="G196" s="6">
        <v>40</v>
      </c>
      <c r="H196" s="59">
        <f t="shared" si="10"/>
        <v>0</v>
      </c>
      <c r="I196" s="59">
        <f t="shared" si="11"/>
        <v>0</v>
      </c>
      <c r="J196" s="59">
        <f t="shared" si="12"/>
        <v>0</v>
      </c>
      <c r="K196" s="59">
        <f t="shared" si="13"/>
        <v>0</v>
      </c>
      <c r="L196" s="81">
        <f t="shared" si="14"/>
        <v>260000</v>
      </c>
      <c r="M196" s="82" t="s">
        <v>234</v>
      </c>
    </row>
    <row r="197" spans="1:13" ht="47.25">
      <c r="A197" s="57" t="s">
        <v>604</v>
      </c>
      <c r="B197" s="57" t="s">
        <v>605</v>
      </c>
      <c r="C197" s="73" t="s">
        <v>606</v>
      </c>
      <c r="D197" s="57" t="s">
        <v>607</v>
      </c>
      <c r="E197" s="21">
        <v>1224</v>
      </c>
      <c r="F197" s="6">
        <v>40</v>
      </c>
      <c r="G197" s="6">
        <v>40</v>
      </c>
      <c r="H197" s="59">
        <f t="shared" si="10"/>
        <v>0</v>
      </c>
      <c r="I197" s="59">
        <f t="shared" si="11"/>
        <v>0</v>
      </c>
      <c r="J197" s="59">
        <f t="shared" si="12"/>
        <v>0</v>
      </c>
      <c r="K197" s="59">
        <f t="shared" si="13"/>
        <v>0</v>
      </c>
      <c r="L197" s="81">
        <f t="shared" si="14"/>
        <v>48960</v>
      </c>
      <c r="M197" s="82" t="s">
        <v>29</v>
      </c>
    </row>
    <row r="198" spans="1:13" s="8" customFormat="1" ht="31.5">
      <c r="A198" s="20" t="s">
        <v>608</v>
      </c>
      <c r="B198" s="20" t="s">
        <v>609</v>
      </c>
      <c r="C198" s="20" t="s">
        <v>610</v>
      </c>
      <c r="D198" s="20" t="s">
        <v>611</v>
      </c>
      <c r="E198" s="9">
        <v>4250</v>
      </c>
      <c r="F198" s="7">
        <v>3</v>
      </c>
      <c r="G198" s="7">
        <v>3</v>
      </c>
      <c r="H198" s="13">
        <f t="shared" si="10"/>
        <v>0</v>
      </c>
      <c r="I198" s="13">
        <f t="shared" si="11"/>
        <v>0</v>
      </c>
      <c r="J198" s="13">
        <f t="shared" si="12"/>
        <v>0</v>
      </c>
      <c r="K198" s="13">
        <f t="shared" si="13"/>
        <v>0</v>
      </c>
      <c r="L198" s="14">
        <f t="shared" si="14"/>
        <v>12750</v>
      </c>
      <c r="M198" s="16" t="s">
        <v>111</v>
      </c>
    </row>
    <row r="199" spans="1:13" s="42" customFormat="1">
      <c r="A199" s="69" t="s">
        <v>761</v>
      </c>
      <c r="B199" s="69" t="s">
        <v>762</v>
      </c>
      <c r="C199" s="69" t="s">
        <v>763</v>
      </c>
      <c r="D199" s="69" t="s">
        <v>764</v>
      </c>
      <c r="E199" s="91"/>
      <c r="F199" s="65">
        <v>550</v>
      </c>
      <c r="G199" s="65">
        <v>550</v>
      </c>
      <c r="H199" s="66">
        <f t="shared" si="10"/>
        <v>0</v>
      </c>
      <c r="I199" s="66"/>
      <c r="J199" s="66">
        <f t="shared" si="12"/>
        <v>0</v>
      </c>
      <c r="K199" s="66"/>
      <c r="L199" s="83"/>
      <c r="M199" s="84"/>
    </row>
    <row r="200" spans="1:13">
      <c r="A200" s="57" t="s">
        <v>612</v>
      </c>
      <c r="B200" s="57" t="s">
        <v>613</v>
      </c>
      <c r="C200" s="57" t="s">
        <v>614</v>
      </c>
      <c r="D200" s="57" t="s">
        <v>615</v>
      </c>
      <c r="E200" s="21">
        <v>2706.75</v>
      </c>
      <c r="F200" s="6">
        <v>45</v>
      </c>
      <c r="G200" s="6">
        <v>45</v>
      </c>
      <c r="H200" s="59">
        <f t="shared" si="10"/>
        <v>0</v>
      </c>
      <c r="I200" s="59">
        <f t="shared" si="11"/>
        <v>0</v>
      </c>
      <c r="J200" s="59">
        <f t="shared" si="12"/>
        <v>0</v>
      </c>
      <c r="K200" s="59">
        <f t="shared" si="13"/>
        <v>0</v>
      </c>
      <c r="L200" s="81">
        <f t="shared" si="14"/>
        <v>121803.75</v>
      </c>
      <c r="M200" s="82" t="s">
        <v>130</v>
      </c>
    </row>
    <row r="201" spans="1:13" ht="31.5">
      <c r="A201" s="57" t="s">
        <v>616</v>
      </c>
      <c r="B201" s="61" t="s">
        <v>617</v>
      </c>
      <c r="C201" s="57" t="s">
        <v>618</v>
      </c>
      <c r="D201" s="57" t="s">
        <v>118</v>
      </c>
      <c r="E201" s="21">
        <v>14.66</v>
      </c>
      <c r="F201" s="6">
        <v>196</v>
      </c>
      <c r="G201" s="6">
        <v>196</v>
      </c>
      <c r="H201" s="59">
        <f t="shared" si="10"/>
        <v>0</v>
      </c>
      <c r="I201" s="59">
        <f t="shared" si="11"/>
        <v>0</v>
      </c>
      <c r="J201" s="59">
        <f t="shared" si="12"/>
        <v>0</v>
      </c>
      <c r="K201" s="59">
        <f t="shared" si="13"/>
        <v>0</v>
      </c>
      <c r="L201" s="81">
        <f t="shared" si="14"/>
        <v>2873.36</v>
      </c>
      <c r="M201" s="82" t="s">
        <v>312</v>
      </c>
    </row>
    <row r="202" spans="1:13">
      <c r="A202" s="57"/>
      <c r="B202" s="57" t="s">
        <v>695</v>
      </c>
      <c r="C202" s="57"/>
      <c r="D202" s="57" t="s">
        <v>696</v>
      </c>
      <c r="E202" s="21"/>
      <c r="F202" s="6">
        <v>50</v>
      </c>
      <c r="G202" s="6">
        <v>50</v>
      </c>
      <c r="H202" s="59">
        <f t="shared" si="10"/>
        <v>0</v>
      </c>
      <c r="I202" s="59"/>
      <c r="J202" s="59">
        <f t="shared" si="12"/>
        <v>0</v>
      </c>
      <c r="K202" s="59"/>
      <c r="L202" s="81"/>
      <c r="M202" s="82"/>
    </row>
    <row r="203" spans="1:13">
      <c r="A203" s="57"/>
      <c r="B203" s="57" t="s">
        <v>619</v>
      </c>
      <c r="C203" s="57" t="s">
        <v>561</v>
      </c>
      <c r="D203" s="61" t="s">
        <v>620</v>
      </c>
      <c r="E203" s="21">
        <v>1885</v>
      </c>
      <c r="F203" s="6">
        <v>50</v>
      </c>
      <c r="G203" s="6">
        <v>50</v>
      </c>
      <c r="H203" s="59">
        <f t="shared" si="10"/>
        <v>0</v>
      </c>
      <c r="I203" s="59">
        <f t="shared" si="11"/>
        <v>0</v>
      </c>
      <c r="J203" s="59">
        <f t="shared" si="12"/>
        <v>0</v>
      </c>
      <c r="K203" s="59">
        <f t="shared" si="13"/>
        <v>0</v>
      </c>
      <c r="L203" s="81">
        <f t="shared" si="14"/>
        <v>94250</v>
      </c>
      <c r="M203" s="82" t="s">
        <v>621</v>
      </c>
    </row>
    <row r="204" spans="1:13">
      <c r="A204" s="60" t="s">
        <v>622</v>
      </c>
      <c r="B204" s="60" t="s">
        <v>623</v>
      </c>
      <c r="C204" s="60" t="s">
        <v>624</v>
      </c>
      <c r="D204" s="72" t="s">
        <v>625</v>
      </c>
      <c r="E204" s="21">
        <v>801</v>
      </c>
      <c r="F204" s="6">
        <v>64</v>
      </c>
      <c r="G204" s="6">
        <v>64</v>
      </c>
      <c r="H204" s="59">
        <f t="shared" si="10"/>
        <v>0</v>
      </c>
      <c r="I204" s="59">
        <f t="shared" si="11"/>
        <v>0</v>
      </c>
      <c r="J204" s="59">
        <f t="shared" si="12"/>
        <v>0</v>
      </c>
      <c r="K204" s="59">
        <f t="shared" si="13"/>
        <v>0</v>
      </c>
      <c r="L204" s="81">
        <f t="shared" si="14"/>
        <v>51264</v>
      </c>
      <c r="M204" s="82" t="s">
        <v>626</v>
      </c>
    </row>
    <row r="205" spans="1:13">
      <c r="A205" s="60" t="s">
        <v>627</v>
      </c>
      <c r="B205" s="60" t="s">
        <v>628</v>
      </c>
      <c r="C205" s="60" t="s">
        <v>624</v>
      </c>
      <c r="D205" s="72" t="s">
        <v>625</v>
      </c>
      <c r="E205" s="21">
        <v>1972</v>
      </c>
      <c r="F205" s="6">
        <v>50</v>
      </c>
      <c r="G205" s="6">
        <v>50</v>
      </c>
      <c r="H205" s="59">
        <f t="shared" si="10"/>
        <v>0</v>
      </c>
      <c r="I205" s="59">
        <f t="shared" si="11"/>
        <v>0</v>
      </c>
      <c r="J205" s="59">
        <f t="shared" si="12"/>
        <v>0</v>
      </c>
      <c r="K205" s="59">
        <f t="shared" si="13"/>
        <v>0</v>
      </c>
      <c r="L205" s="81">
        <f t="shared" si="14"/>
        <v>98600</v>
      </c>
      <c r="M205" s="82" t="s">
        <v>234</v>
      </c>
    </row>
    <row r="206" spans="1:13" ht="31.5">
      <c r="A206" s="60" t="s">
        <v>629</v>
      </c>
      <c r="B206" s="60" t="s">
        <v>630</v>
      </c>
      <c r="C206" s="60" t="s">
        <v>624</v>
      </c>
      <c r="D206" s="72" t="s">
        <v>625</v>
      </c>
      <c r="E206" s="21">
        <v>2200</v>
      </c>
      <c r="F206" s="6">
        <v>0</v>
      </c>
      <c r="G206" s="6">
        <v>0</v>
      </c>
      <c r="H206" s="59">
        <f t="shared" si="10"/>
        <v>0</v>
      </c>
      <c r="I206" s="59">
        <f t="shared" si="11"/>
        <v>0</v>
      </c>
      <c r="J206" s="59">
        <f t="shared" si="12"/>
        <v>0</v>
      </c>
      <c r="K206" s="59">
        <f t="shared" si="13"/>
        <v>0</v>
      </c>
      <c r="L206" s="81">
        <f t="shared" si="14"/>
        <v>0</v>
      </c>
      <c r="M206" s="82" t="s">
        <v>631</v>
      </c>
    </row>
    <row r="207" spans="1:13" ht="31.5">
      <c r="A207" s="60"/>
      <c r="B207" s="60" t="s">
        <v>632</v>
      </c>
      <c r="C207" s="60" t="s">
        <v>633</v>
      </c>
      <c r="D207" s="72" t="s">
        <v>633</v>
      </c>
      <c r="E207" s="21">
        <v>1163.75</v>
      </c>
      <c r="F207" s="6">
        <v>76</v>
      </c>
      <c r="G207" s="6">
        <v>76</v>
      </c>
      <c r="H207" s="59">
        <f t="shared" si="10"/>
        <v>0</v>
      </c>
      <c r="I207" s="59">
        <f t="shared" si="11"/>
        <v>0</v>
      </c>
      <c r="J207" s="59">
        <f t="shared" si="12"/>
        <v>0</v>
      </c>
      <c r="K207" s="59">
        <f t="shared" si="13"/>
        <v>0</v>
      </c>
      <c r="L207" s="81">
        <f t="shared" si="14"/>
        <v>88445</v>
      </c>
      <c r="M207" s="82" t="s">
        <v>634</v>
      </c>
    </row>
    <row r="208" spans="1:13" s="43" customFormat="1">
      <c r="A208" s="60"/>
      <c r="B208" s="60" t="s">
        <v>635</v>
      </c>
      <c r="C208" s="60" t="s">
        <v>636</v>
      </c>
      <c r="D208" s="72" t="s">
        <v>636</v>
      </c>
      <c r="E208" s="21">
        <v>1530</v>
      </c>
      <c r="F208" s="6">
        <v>35</v>
      </c>
      <c r="G208" s="6">
        <v>35</v>
      </c>
      <c r="H208" s="6">
        <f t="shared" si="10"/>
        <v>0</v>
      </c>
      <c r="I208" s="6">
        <f t="shared" si="11"/>
        <v>0</v>
      </c>
      <c r="J208" s="6">
        <f t="shared" si="12"/>
        <v>0</v>
      </c>
      <c r="K208" s="6">
        <f t="shared" si="13"/>
        <v>0</v>
      </c>
      <c r="L208" s="45">
        <f t="shared" si="14"/>
        <v>53550</v>
      </c>
      <c r="M208" s="46" t="s">
        <v>135</v>
      </c>
    </row>
    <row r="209" spans="1:13" s="43" customFormat="1">
      <c r="A209" s="60"/>
      <c r="B209" s="60" t="s">
        <v>637</v>
      </c>
      <c r="C209" s="60" t="s">
        <v>636</v>
      </c>
      <c r="D209" s="72" t="s">
        <v>636</v>
      </c>
      <c r="E209" s="21">
        <v>920</v>
      </c>
      <c r="F209" s="6">
        <v>35</v>
      </c>
      <c r="G209" s="6">
        <v>35</v>
      </c>
      <c r="H209" s="6">
        <f t="shared" si="10"/>
        <v>0</v>
      </c>
      <c r="I209" s="6">
        <f t="shared" si="11"/>
        <v>0</v>
      </c>
      <c r="J209" s="6">
        <f t="shared" si="12"/>
        <v>0</v>
      </c>
      <c r="K209" s="6">
        <f t="shared" si="13"/>
        <v>0</v>
      </c>
      <c r="L209" s="45">
        <f t="shared" si="14"/>
        <v>32200</v>
      </c>
      <c r="M209" s="46" t="s">
        <v>596</v>
      </c>
    </row>
    <row r="210" spans="1:13" ht="31.5">
      <c r="A210" s="60"/>
      <c r="B210" s="60" t="s">
        <v>638</v>
      </c>
      <c r="C210" s="60" t="s">
        <v>639</v>
      </c>
      <c r="D210" s="72" t="s">
        <v>633</v>
      </c>
      <c r="E210" s="21">
        <v>947.15</v>
      </c>
      <c r="F210" s="6">
        <v>145</v>
      </c>
      <c r="G210" s="6">
        <v>145</v>
      </c>
      <c r="H210" s="59">
        <f t="shared" si="10"/>
        <v>0</v>
      </c>
      <c r="I210" s="59">
        <f t="shared" si="11"/>
        <v>0</v>
      </c>
      <c r="J210" s="59">
        <f t="shared" si="12"/>
        <v>0</v>
      </c>
      <c r="K210" s="59">
        <f t="shared" si="13"/>
        <v>0</v>
      </c>
      <c r="L210" s="81">
        <f t="shared" si="14"/>
        <v>137336.75</v>
      </c>
      <c r="M210" s="82" t="s">
        <v>211</v>
      </c>
    </row>
    <row r="211" spans="1:13">
      <c r="A211" s="60"/>
      <c r="B211" s="60" t="s">
        <v>640</v>
      </c>
      <c r="C211" s="60"/>
      <c r="D211" s="72" t="s">
        <v>641</v>
      </c>
      <c r="E211" s="21"/>
      <c r="F211" s="6">
        <v>30</v>
      </c>
      <c r="G211" s="6">
        <v>30</v>
      </c>
      <c r="H211" s="59">
        <f t="shared" si="10"/>
        <v>0</v>
      </c>
      <c r="I211" s="59">
        <f t="shared" si="11"/>
        <v>0</v>
      </c>
      <c r="J211" s="59">
        <f t="shared" si="12"/>
        <v>0</v>
      </c>
      <c r="K211" s="59">
        <f t="shared" si="13"/>
        <v>0</v>
      </c>
      <c r="L211" s="81">
        <f t="shared" si="14"/>
        <v>0</v>
      </c>
      <c r="M211" s="82" t="s">
        <v>642</v>
      </c>
    </row>
    <row r="212" spans="1:13" s="43" customFormat="1" ht="31.5">
      <c r="A212" s="60" t="s">
        <v>643</v>
      </c>
      <c r="B212" s="60" t="s">
        <v>644</v>
      </c>
      <c r="C212" s="60" t="s">
        <v>645</v>
      </c>
      <c r="D212" s="72" t="s">
        <v>645</v>
      </c>
      <c r="E212" s="21">
        <v>636.29999999999995</v>
      </c>
      <c r="F212" s="6">
        <v>0</v>
      </c>
      <c r="G212" s="6">
        <v>0</v>
      </c>
      <c r="H212" s="59">
        <f t="shared" si="10"/>
        <v>0</v>
      </c>
      <c r="I212" s="59">
        <f t="shared" si="11"/>
        <v>0</v>
      </c>
      <c r="J212" s="59">
        <f t="shared" si="12"/>
        <v>0</v>
      </c>
      <c r="K212" s="59">
        <f t="shared" si="13"/>
        <v>0</v>
      </c>
      <c r="L212" s="81">
        <f t="shared" si="14"/>
        <v>0</v>
      </c>
      <c r="M212" s="82" t="s">
        <v>646</v>
      </c>
    </row>
    <row r="213" spans="1:13">
      <c r="A213" s="57"/>
      <c r="B213" s="40" t="s">
        <v>647</v>
      </c>
      <c r="C213" s="44" t="s">
        <v>645</v>
      </c>
      <c r="D213" s="40" t="s">
        <v>645</v>
      </c>
      <c r="E213" s="59">
        <v>3.5</v>
      </c>
      <c r="F213" s="6">
        <v>22000</v>
      </c>
      <c r="G213" s="6">
        <v>22000</v>
      </c>
      <c r="H213" s="59">
        <f t="shared" si="10"/>
        <v>0</v>
      </c>
      <c r="I213" s="59">
        <f t="shared" si="11"/>
        <v>0</v>
      </c>
      <c r="J213" s="59">
        <f t="shared" si="12"/>
        <v>0</v>
      </c>
      <c r="K213" s="59">
        <f t="shared" si="13"/>
        <v>0</v>
      </c>
      <c r="L213" s="81">
        <f t="shared" si="14"/>
        <v>77000</v>
      </c>
      <c r="M213" s="82" t="s">
        <v>648</v>
      </c>
    </row>
    <row r="214" spans="1:13" ht="31.5">
      <c r="A214" s="57"/>
      <c r="B214" s="40" t="s">
        <v>649</v>
      </c>
      <c r="C214" s="44" t="s">
        <v>645</v>
      </c>
      <c r="D214" s="40" t="s">
        <v>645</v>
      </c>
      <c r="E214" s="59">
        <v>5</v>
      </c>
      <c r="F214" s="6">
        <v>12000</v>
      </c>
      <c r="G214" s="6">
        <v>12000</v>
      </c>
      <c r="H214" s="59">
        <f t="shared" si="10"/>
        <v>0</v>
      </c>
      <c r="I214" s="59">
        <f t="shared" si="11"/>
        <v>0</v>
      </c>
      <c r="J214" s="59">
        <f t="shared" si="12"/>
        <v>0</v>
      </c>
      <c r="K214" s="59">
        <f t="shared" si="13"/>
        <v>0</v>
      </c>
      <c r="L214" s="81">
        <f t="shared" si="14"/>
        <v>60000</v>
      </c>
      <c r="M214" s="82" t="s">
        <v>648</v>
      </c>
    </row>
    <row r="215" spans="1:13" ht="31.5">
      <c r="B215" s="40" t="s">
        <v>650</v>
      </c>
      <c r="C215" s="40" t="s">
        <v>645</v>
      </c>
      <c r="D215" s="40" t="s">
        <v>641</v>
      </c>
      <c r="E215" s="93">
        <v>450</v>
      </c>
      <c r="F215" s="6">
        <v>150</v>
      </c>
      <c r="G215" s="6">
        <v>150</v>
      </c>
      <c r="H215" s="59">
        <f t="shared" si="10"/>
        <v>0</v>
      </c>
      <c r="I215" s="59">
        <f t="shared" si="11"/>
        <v>0</v>
      </c>
      <c r="J215" s="59">
        <f t="shared" si="12"/>
        <v>0</v>
      </c>
      <c r="K215" s="59">
        <f t="shared" si="13"/>
        <v>0</v>
      </c>
      <c r="L215" s="81">
        <f t="shared" si="14"/>
        <v>67500</v>
      </c>
      <c r="M215" s="82" t="s">
        <v>85</v>
      </c>
    </row>
    <row r="216" spans="1:13" ht="31.5">
      <c r="B216" s="40" t="s">
        <v>651</v>
      </c>
      <c r="C216" s="40" t="s">
        <v>645</v>
      </c>
      <c r="D216" s="40" t="s">
        <v>641</v>
      </c>
      <c r="E216" s="94">
        <v>230</v>
      </c>
      <c r="F216" s="6">
        <v>100</v>
      </c>
      <c r="G216" s="6">
        <v>100</v>
      </c>
      <c r="H216" s="59">
        <f t="shared" si="10"/>
        <v>0</v>
      </c>
      <c r="I216" s="59">
        <f t="shared" si="11"/>
        <v>0</v>
      </c>
      <c r="J216" s="59">
        <f t="shared" si="12"/>
        <v>0</v>
      </c>
      <c r="K216" s="59">
        <f t="shared" si="13"/>
        <v>0</v>
      </c>
      <c r="L216" s="81">
        <f t="shared" si="14"/>
        <v>23000</v>
      </c>
      <c r="M216" s="82" t="s">
        <v>159</v>
      </c>
    </row>
    <row r="217" spans="1:13">
      <c r="H217" s="59"/>
      <c r="I217" s="59"/>
      <c r="J217" s="59"/>
      <c r="K217" s="59"/>
      <c r="L217" s="95">
        <f>SUM(L7:L216)</f>
        <v>10821873.92</v>
      </c>
      <c r="M217" s="82"/>
    </row>
  </sheetData>
  <mergeCells count="2">
    <mergeCell ref="A1:P1"/>
    <mergeCell ref="A3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T261"/>
  <sheetViews>
    <sheetView tabSelected="1" workbookViewId="0">
      <selection activeCell="E11" sqref="E11"/>
    </sheetView>
  </sheetViews>
  <sheetFormatPr defaultColWidth="9.140625" defaultRowHeight="15"/>
  <cols>
    <col min="2" max="2" width="10.140625" customWidth="1"/>
    <col min="3" max="3" width="20.85546875" customWidth="1"/>
    <col min="4" max="4" width="24.5703125" customWidth="1"/>
    <col min="5" max="5" width="9.7109375" customWidth="1"/>
    <col min="6" max="6" width="10.140625"/>
    <col min="13" max="13" width="16.5703125"/>
    <col min="14" max="14" width="9.42578125" customWidth="1"/>
  </cols>
  <sheetData>
    <row r="1" spans="2:17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2:17" ht="15.75">
      <c r="B2" s="244" t="s">
        <v>1027</v>
      </c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</row>
    <row r="3" spans="2:17" ht="15.75">
      <c r="B3" s="197"/>
      <c r="C3" s="197"/>
      <c r="D3" s="197"/>
      <c r="E3" s="198"/>
      <c r="F3" s="199"/>
      <c r="G3" s="200"/>
      <c r="H3" s="200"/>
      <c r="I3" s="199"/>
      <c r="J3" s="199"/>
      <c r="K3" s="199"/>
      <c r="L3" s="199"/>
      <c r="M3" s="201"/>
      <c r="N3" s="202"/>
      <c r="O3" s="197"/>
      <c r="P3" s="197"/>
      <c r="Q3" s="197"/>
    </row>
    <row r="4" spans="2:17" ht="15.75">
      <c r="B4" s="244" t="s">
        <v>1056</v>
      </c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</row>
    <row r="5" spans="2:17" ht="15.75">
      <c r="B5" s="3"/>
      <c r="C5" s="3"/>
      <c r="D5" s="3"/>
      <c r="E5" s="4"/>
      <c r="F5" s="5"/>
      <c r="G5" s="6"/>
      <c r="H5" s="6"/>
      <c r="I5" s="5"/>
      <c r="J5" s="5"/>
      <c r="K5" s="5"/>
      <c r="L5" s="5"/>
      <c r="M5" s="11"/>
      <c r="N5" s="12"/>
      <c r="O5" s="3"/>
      <c r="P5" s="3"/>
      <c r="Q5" s="3"/>
    </row>
    <row r="6" spans="2:17" ht="63">
      <c r="B6" s="203" t="s">
        <v>2</v>
      </c>
      <c r="C6" s="203" t="s">
        <v>3</v>
      </c>
      <c r="D6" s="204" t="s">
        <v>4</v>
      </c>
      <c r="E6" s="204" t="s">
        <v>5</v>
      </c>
      <c r="F6" s="205" t="s">
        <v>6</v>
      </c>
      <c r="G6" s="206" t="s">
        <v>7</v>
      </c>
      <c r="H6" s="207" t="s">
        <v>8</v>
      </c>
      <c r="I6" s="208" t="s">
        <v>9</v>
      </c>
      <c r="J6" s="209" t="s">
        <v>10</v>
      </c>
      <c r="K6" s="208" t="s">
        <v>11</v>
      </c>
      <c r="L6" s="209" t="s">
        <v>12</v>
      </c>
      <c r="M6" s="210" t="s">
        <v>13</v>
      </c>
      <c r="N6" s="211" t="s">
        <v>14</v>
      </c>
      <c r="O6" s="4"/>
      <c r="P6" s="4"/>
      <c r="Q6" s="4"/>
    </row>
    <row r="7" spans="2:17" s="1" customFormat="1" ht="31.5">
      <c r="B7" s="167" t="s">
        <v>701</v>
      </c>
      <c r="C7" s="174" t="s">
        <v>702</v>
      </c>
      <c r="D7" s="174" t="s">
        <v>765</v>
      </c>
      <c r="E7" s="174" t="s">
        <v>250</v>
      </c>
      <c r="F7" s="168">
        <v>300</v>
      </c>
      <c r="G7" s="169">
        <v>460</v>
      </c>
      <c r="H7" s="170">
        <v>460</v>
      </c>
      <c r="I7" s="171">
        <f t="shared" ref="I7:I36" si="0">G7-H7</f>
        <v>0</v>
      </c>
      <c r="J7" s="171">
        <f t="shared" ref="J7:J70" si="1">F7*I7</f>
        <v>0</v>
      </c>
      <c r="K7" s="171">
        <f t="shared" ref="K7:K70" si="2">H7-G7</f>
        <v>0</v>
      </c>
      <c r="L7" s="171">
        <f t="shared" ref="L7:L70" si="3">F7*K7</f>
        <v>0</v>
      </c>
      <c r="M7" s="172">
        <f t="shared" ref="M7:M70" si="4">F7*H7</f>
        <v>138000</v>
      </c>
      <c r="N7" s="173" t="s">
        <v>766</v>
      </c>
      <c r="O7" s="174"/>
      <c r="P7" s="15"/>
      <c r="Q7" s="15"/>
    </row>
    <row r="8" spans="2:17" s="1" customFormat="1" ht="94.5">
      <c r="B8" s="175" t="s">
        <v>15</v>
      </c>
      <c r="C8" s="175" t="s">
        <v>16</v>
      </c>
      <c r="D8" s="175" t="s">
        <v>17</v>
      </c>
      <c r="E8" s="175" t="s">
        <v>18</v>
      </c>
      <c r="F8" s="186">
        <v>39</v>
      </c>
      <c r="G8" s="176">
        <v>615</v>
      </c>
      <c r="H8" s="176">
        <v>615</v>
      </c>
      <c r="I8" s="171">
        <f t="shared" si="0"/>
        <v>0</v>
      </c>
      <c r="J8" s="171">
        <f t="shared" si="1"/>
        <v>0</v>
      </c>
      <c r="K8" s="171">
        <f t="shared" si="2"/>
        <v>0</v>
      </c>
      <c r="L8" s="171">
        <f t="shared" si="3"/>
        <v>0</v>
      </c>
      <c r="M8" s="172">
        <f t="shared" si="4"/>
        <v>23985</v>
      </c>
      <c r="N8" s="177" t="s">
        <v>767</v>
      </c>
      <c r="O8" s="178"/>
      <c r="P8" s="8"/>
      <c r="Q8" s="8"/>
    </row>
    <row r="9" spans="2:17" s="1" customFormat="1" ht="31.5">
      <c r="B9" s="175" t="s">
        <v>25</v>
      </c>
      <c r="C9" s="175" t="s">
        <v>26</v>
      </c>
      <c r="D9" s="175" t="s">
        <v>27</v>
      </c>
      <c r="E9" s="179" t="s">
        <v>28</v>
      </c>
      <c r="F9" s="186">
        <v>48</v>
      </c>
      <c r="G9" s="176">
        <v>790</v>
      </c>
      <c r="H9" s="176">
        <v>790</v>
      </c>
      <c r="I9" s="171">
        <f t="shared" si="0"/>
        <v>0</v>
      </c>
      <c r="J9" s="171">
        <f t="shared" si="1"/>
        <v>0</v>
      </c>
      <c r="K9" s="171">
        <f t="shared" si="2"/>
        <v>0</v>
      </c>
      <c r="L9" s="171">
        <f t="shared" si="3"/>
        <v>0</v>
      </c>
      <c r="M9" s="172">
        <f t="shared" si="4"/>
        <v>37920</v>
      </c>
      <c r="N9" s="177" t="s">
        <v>766</v>
      </c>
      <c r="O9" s="178"/>
      <c r="P9" s="8"/>
      <c r="Q9" s="8"/>
    </row>
    <row r="10" spans="2:17" s="1" customFormat="1" ht="15.75">
      <c r="B10" s="175"/>
      <c r="C10" s="175" t="s">
        <v>26</v>
      </c>
      <c r="D10" s="175" t="s">
        <v>807</v>
      </c>
      <c r="E10" s="179" t="s">
        <v>1030</v>
      </c>
      <c r="F10" s="186">
        <v>0.57999999999999996</v>
      </c>
      <c r="G10" s="176">
        <v>400</v>
      </c>
      <c r="H10" s="176">
        <v>400</v>
      </c>
      <c r="I10" s="171">
        <f t="shared" si="0"/>
        <v>0</v>
      </c>
      <c r="J10" s="171">
        <f t="shared" si="1"/>
        <v>0</v>
      </c>
      <c r="K10" s="171">
        <f t="shared" si="2"/>
        <v>0</v>
      </c>
      <c r="L10" s="171">
        <f t="shared" si="3"/>
        <v>0</v>
      </c>
      <c r="M10" s="172">
        <f t="shared" si="4"/>
        <v>231.99999999999997</v>
      </c>
      <c r="N10" s="177" t="s">
        <v>526</v>
      </c>
      <c r="O10" s="178"/>
      <c r="P10" s="8"/>
      <c r="Q10" s="8"/>
    </row>
    <row r="11" spans="2:17" s="1" customFormat="1" ht="47.25">
      <c r="B11" s="175" t="s">
        <v>30</v>
      </c>
      <c r="C11" s="179" t="s">
        <v>31</v>
      </c>
      <c r="D11" s="175" t="s">
        <v>32</v>
      </c>
      <c r="E11" s="175" t="s">
        <v>33</v>
      </c>
      <c r="F11" s="186">
        <v>6000</v>
      </c>
      <c r="G11" s="176">
        <v>9</v>
      </c>
      <c r="H11" s="176">
        <v>9</v>
      </c>
      <c r="I11" s="171">
        <f t="shared" si="0"/>
        <v>0</v>
      </c>
      <c r="J11" s="171">
        <f t="shared" si="1"/>
        <v>0</v>
      </c>
      <c r="K11" s="171">
        <f t="shared" si="2"/>
        <v>0</v>
      </c>
      <c r="L11" s="171">
        <f t="shared" si="3"/>
        <v>0</v>
      </c>
      <c r="M11" s="172">
        <f t="shared" si="4"/>
        <v>54000</v>
      </c>
      <c r="N11" s="177" t="s">
        <v>768</v>
      </c>
      <c r="O11" s="178"/>
      <c r="P11" s="8"/>
      <c r="Q11" s="8"/>
    </row>
    <row r="12" spans="2:17" s="1" customFormat="1" ht="31.5">
      <c r="B12" s="175" t="s">
        <v>35</v>
      </c>
      <c r="C12" s="179" t="s">
        <v>36</v>
      </c>
      <c r="D12" s="175" t="s">
        <v>37</v>
      </c>
      <c r="E12" s="179" t="s">
        <v>38</v>
      </c>
      <c r="F12" s="186">
        <v>112</v>
      </c>
      <c r="G12" s="176">
        <v>110</v>
      </c>
      <c r="H12" s="176">
        <v>110</v>
      </c>
      <c r="I12" s="171">
        <f t="shared" si="0"/>
        <v>0</v>
      </c>
      <c r="J12" s="171">
        <f t="shared" si="1"/>
        <v>0</v>
      </c>
      <c r="K12" s="171">
        <f t="shared" si="2"/>
        <v>0</v>
      </c>
      <c r="L12" s="171">
        <f t="shared" si="3"/>
        <v>0</v>
      </c>
      <c r="M12" s="172">
        <f t="shared" si="4"/>
        <v>12320</v>
      </c>
      <c r="N12" s="177" t="s">
        <v>768</v>
      </c>
      <c r="O12" s="178"/>
      <c r="P12" s="8"/>
      <c r="Q12" s="8"/>
    </row>
    <row r="13" spans="2:17" s="1" customFormat="1" ht="45.95" customHeight="1">
      <c r="B13" s="175" t="s">
        <v>769</v>
      </c>
      <c r="C13" s="175" t="s">
        <v>41</v>
      </c>
      <c r="D13" s="175" t="s">
        <v>770</v>
      </c>
      <c r="E13" s="174" t="s">
        <v>771</v>
      </c>
      <c r="F13" s="186">
        <v>385</v>
      </c>
      <c r="G13" s="176">
        <v>625</v>
      </c>
      <c r="H13" s="176">
        <v>625</v>
      </c>
      <c r="I13" s="171">
        <f t="shared" si="0"/>
        <v>0</v>
      </c>
      <c r="J13" s="171">
        <f t="shared" si="1"/>
        <v>0</v>
      </c>
      <c r="K13" s="171">
        <f t="shared" si="2"/>
        <v>0</v>
      </c>
      <c r="L13" s="171">
        <f t="shared" si="3"/>
        <v>0</v>
      </c>
      <c r="M13" s="172">
        <f t="shared" si="4"/>
        <v>240625</v>
      </c>
      <c r="N13" s="177" t="s">
        <v>772</v>
      </c>
      <c r="O13" s="178"/>
      <c r="P13" s="8"/>
      <c r="Q13" s="8"/>
    </row>
    <row r="14" spans="2:17" s="1" customFormat="1" ht="63">
      <c r="B14" s="180" t="s">
        <v>44</v>
      </c>
      <c r="C14" s="180" t="s">
        <v>45</v>
      </c>
      <c r="D14" s="180" t="s">
        <v>46</v>
      </c>
      <c r="E14" s="180" t="s">
        <v>47</v>
      </c>
      <c r="F14" s="186">
        <v>54</v>
      </c>
      <c r="G14" s="176">
        <v>700</v>
      </c>
      <c r="H14" s="176">
        <v>700</v>
      </c>
      <c r="I14" s="171">
        <f t="shared" si="0"/>
        <v>0</v>
      </c>
      <c r="J14" s="171">
        <f t="shared" si="1"/>
        <v>0</v>
      </c>
      <c r="K14" s="171">
        <f t="shared" si="2"/>
        <v>0</v>
      </c>
      <c r="L14" s="171">
        <f t="shared" si="3"/>
        <v>0</v>
      </c>
      <c r="M14" s="172">
        <f t="shared" si="4"/>
        <v>37800</v>
      </c>
      <c r="N14" s="177" t="s">
        <v>773</v>
      </c>
      <c r="O14" s="178"/>
      <c r="P14" s="8"/>
      <c r="Q14" s="8"/>
    </row>
    <row r="15" spans="2:17" s="1" customFormat="1" ht="15.75">
      <c r="B15" s="180" t="s">
        <v>49</v>
      </c>
      <c r="C15" s="174" t="s">
        <v>50</v>
      </c>
      <c r="D15" s="174" t="s">
        <v>27</v>
      </c>
      <c r="E15" s="180" t="s">
        <v>774</v>
      </c>
      <c r="F15" s="186">
        <v>99</v>
      </c>
      <c r="G15" s="176">
        <v>1000</v>
      </c>
      <c r="H15" s="176">
        <v>1000</v>
      </c>
      <c r="I15" s="171">
        <f t="shared" si="0"/>
        <v>0</v>
      </c>
      <c r="J15" s="171">
        <f t="shared" si="1"/>
        <v>0</v>
      </c>
      <c r="K15" s="171">
        <f t="shared" si="2"/>
        <v>0</v>
      </c>
      <c r="L15" s="171">
        <f t="shared" si="3"/>
        <v>0</v>
      </c>
      <c r="M15" s="172">
        <f t="shared" si="4"/>
        <v>99000</v>
      </c>
      <c r="N15" s="177" t="s">
        <v>757</v>
      </c>
      <c r="O15" s="178"/>
      <c r="P15" s="8"/>
      <c r="Q15" s="8"/>
    </row>
    <row r="16" spans="2:17" s="1" customFormat="1" ht="31.5">
      <c r="B16" s="180" t="s">
        <v>53</v>
      </c>
      <c r="C16" s="181" t="s">
        <v>54</v>
      </c>
      <c r="D16" s="180" t="s">
        <v>55</v>
      </c>
      <c r="E16" s="181" t="s">
        <v>56</v>
      </c>
      <c r="F16" s="186">
        <v>66</v>
      </c>
      <c r="G16" s="176">
        <v>600</v>
      </c>
      <c r="H16" s="176">
        <v>600</v>
      </c>
      <c r="I16" s="171">
        <f t="shared" si="0"/>
        <v>0</v>
      </c>
      <c r="J16" s="171">
        <f t="shared" si="1"/>
        <v>0</v>
      </c>
      <c r="K16" s="171">
        <f t="shared" si="2"/>
        <v>0</v>
      </c>
      <c r="L16" s="171">
        <f t="shared" si="3"/>
        <v>0</v>
      </c>
      <c r="M16" s="172">
        <f t="shared" si="4"/>
        <v>39600</v>
      </c>
      <c r="N16" s="177" t="s">
        <v>775</v>
      </c>
      <c r="O16" s="178"/>
      <c r="P16" s="8"/>
      <c r="Q16" s="8"/>
    </row>
    <row r="17" spans="2:17" s="1" customFormat="1" ht="47.25">
      <c r="B17" s="175" t="s">
        <v>58</v>
      </c>
      <c r="C17" s="179" t="s">
        <v>59</v>
      </c>
      <c r="D17" s="175" t="s">
        <v>60</v>
      </c>
      <c r="E17" s="175" t="s">
        <v>61</v>
      </c>
      <c r="F17" s="186">
        <v>143</v>
      </c>
      <c r="G17" s="176">
        <v>420</v>
      </c>
      <c r="H17" s="176">
        <v>420</v>
      </c>
      <c r="I17" s="171">
        <f t="shared" si="0"/>
        <v>0</v>
      </c>
      <c r="J17" s="171">
        <f t="shared" si="1"/>
        <v>0</v>
      </c>
      <c r="K17" s="171">
        <f t="shared" si="2"/>
        <v>0</v>
      </c>
      <c r="L17" s="171">
        <f t="shared" si="3"/>
        <v>0</v>
      </c>
      <c r="M17" s="172">
        <f t="shared" si="4"/>
        <v>60060</v>
      </c>
      <c r="N17" s="177" t="s">
        <v>776</v>
      </c>
      <c r="O17" s="178"/>
      <c r="P17" s="8"/>
      <c r="Q17" s="8"/>
    </row>
    <row r="18" spans="2:17" s="1" customFormat="1" ht="31.5">
      <c r="B18" s="175" t="s">
        <v>706</v>
      </c>
      <c r="C18" s="174" t="s">
        <v>707</v>
      </c>
      <c r="D18" s="175" t="s">
        <v>72</v>
      </c>
      <c r="E18" s="175" t="s">
        <v>73</v>
      </c>
      <c r="F18" s="186">
        <v>4450</v>
      </c>
      <c r="G18" s="176">
        <v>82</v>
      </c>
      <c r="H18" s="176">
        <v>82</v>
      </c>
      <c r="I18" s="171">
        <f t="shared" si="0"/>
        <v>0</v>
      </c>
      <c r="J18" s="171">
        <f t="shared" si="1"/>
        <v>0</v>
      </c>
      <c r="K18" s="171">
        <f t="shared" si="2"/>
        <v>0</v>
      </c>
      <c r="L18" s="171">
        <f t="shared" si="3"/>
        <v>0</v>
      </c>
      <c r="M18" s="172">
        <f t="shared" si="4"/>
        <v>364900</v>
      </c>
      <c r="N18" s="177" t="s">
        <v>777</v>
      </c>
      <c r="O18" s="178"/>
      <c r="P18" s="8"/>
      <c r="Q18" s="8"/>
    </row>
    <row r="19" spans="2:17" s="1" customFormat="1" ht="31.5">
      <c r="B19" s="175" t="s">
        <v>66</v>
      </c>
      <c r="C19" s="179" t="s">
        <v>67</v>
      </c>
      <c r="D19" s="175" t="s">
        <v>778</v>
      </c>
      <c r="E19" s="179" t="s">
        <v>56</v>
      </c>
      <c r="F19" s="186">
        <v>90</v>
      </c>
      <c r="G19" s="176">
        <v>510</v>
      </c>
      <c r="H19" s="176">
        <v>510</v>
      </c>
      <c r="I19" s="171">
        <f t="shared" si="0"/>
        <v>0</v>
      </c>
      <c r="J19" s="171">
        <f t="shared" si="1"/>
        <v>0</v>
      </c>
      <c r="K19" s="171">
        <f t="shared" si="2"/>
        <v>0</v>
      </c>
      <c r="L19" s="171">
        <f t="shared" si="3"/>
        <v>0</v>
      </c>
      <c r="M19" s="172">
        <f t="shared" si="4"/>
        <v>45900</v>
      </c>
      <c r="N19" s="177" t="s">
        <v>779</v>
      </c>
      <c r="O19" s="178"/>
      <c r="P19" s="8"/>
      <c r="Q19" s="8"/>
    </row>
    <row r="20" spans="2:17" s="1" customFormat="1" ht="31.5">
      <c r="B20" s="175" t="s">
        <v>70</v>
      </c>
      <c r="C20" s="175" t="s">
        <v>71</v>
      </c>
      <c r="D20" s="175" t="s">
        <v>72</v>
      </c>
      <c r="E20" s="175" t="s">
        <v>73</v>
      </c>
      <c r="F20" s="186">
        <v>13000</v>
      </c>
      <c r="G20" s="176">
        <v>40</v>
      </c>
      <c r="H20" s="176">
        <v>40</v>
      </c>
      <c r="I20" s="171">
        <f t="shared" si="0"/>
        <v>0</v>
      </c>
      <c r="J20" s="171">
        <f t="shared" si="1"/>
        <v>0</v>
      </c>
      <c r="K20" s="171">
        <f t="shared" si="2"/>
        <v>0</v>
      </c>
      <c r="L20" s="171">
        <f t="shared" si="3"/>
        <v>0</v>
      </c>
      <c r="M20" s="172">
        <f t="shared" si="4"/>
        <v>520000</v>
      </c>
      <c r="N20" s="177" t="s">
        <v>39</v>
      </c>
      <c r="O20" s="178"/>
      <c r="P20" s="8"/>
      <c r="Q20" s="8"/>
    </row>
    <row r="21" spans="2:17" s="1" customFormat="1" ht="47.25">
      <c r="B21" s="175" t="s">
        <v>780</v>
      </c>
      <c r="C21" s="174" t="s">
        <v>781</v>
      </c>
      <c r="D21" s="175" t="s">
        <v>782</v>
      </c>
      <c r="E21" s="175" t="s">
        <v>783</v>
      </c>
      <c r="F21" s="186">
        <v>1750</v>
      </c>
      <c r="G21" s="176">
        <v>250</v>
      </c>
      <c r="H21" s="176">
        <v>250</v>
      </c>
      <c r="I21" s="171">
        <f t="shared" si="0"/>
        <v>0</v>
      </c>
      <c r="J21" s="171">
        <f t="shared" si="1"/>
        <v>0</v>
      </c>
      <c r="K21" s="171">
        <f t="shared" si="2"/>
        <v>0</v>
      </c>
      <c r="L21" s="171">
        <f t="shared" si="3"/>
        <v>0</v>
      </c>
      <c r="M21" s="172">
        <f t="shared" si="4"/>
        <v>437500</v>
      </c>
      <c r="N21" s="177" t="s">
        <v>768</v>
      </c>
      <c r="O21" s="178"/>
      <c r="P21" s="8"/>
      <c r="Q21" s="8"/>
    </row>
    <row r="22" spans="2:17" s="1" customFormat="1" ht="31.5">
      <c r="B22" s="175" t="s">
        <v>74</v>
      </c>
      <c r="C22" s="179" t="s">
        <v>75</v>
      </c>
      <c r="D22" s="175" t="s">
        <v>76</v>
      </c>
      <c r="E22" s="175" t="s">
        <v>77</v>
      </c>
      <c r="F22" s="186">
        <v>3.35</v>
      </c>
      <c r="G22" s="176">
        <v>450</v>
      </c>
      <c r="H22" s="176">
        <v>450</v>
      </c>
      <c r="I22" s="171">
        <f t="shared" si="0"/>
        <v>0</v>
      </c>
      <c r="J22" s="171">
        <f t="shared" si="1"/>
        <v>0</v>
      </c>
      <c r="K22" s="171">
        <f t="shared" si="2"/>
        <v>0</v>
      </c>
      <c r="L22" s="171">
        <f t="shared" si="3"/>
        <v>0</v>
      </c>
      <c r="M22" s="172">
        <f t="shared" si="4"/>
        <v>1507.5</v>
      </c>
      <c r="N22" s="177" t="s">
        <v>784</v>
      </c>
      <c r="O22" s="178"/>
      <c r="P22" s="8"/>
      <c r="Q22" s="8"/>
    </row>
    <row r="23" spans="2:17" s="1" customFormat="1" ht="31.5">
      <c r="B23" s="175" t="s">
        <v>785</v>
      </c>
      <c r="C23" s="174" t="s">
        <v>109</v>
      </c>
      <c r="D23" s="174" t="s">
        <v>786</v>
      </c>
      <c r="E23" s="175" t="s">
        <v>787</v>
      </c>
      <c r="F23" s="186">
        <v>21</v>
      </c>
      <c r="G23" s="176">
        <v>552</v>
      </c>
      <c r="H23" s="176">
        <v>552</v>
      </c>
      <c r="I23" s="171">
        <f t="shared" si="0"/>
        <v>0</v>
      </c>
      <c r="J23" s="171">
        <f t="shared" si="1"/>
        <v>0</v>
      </c>
      <c r="K23" s="171">
        <f t="shared" si="2"/>
        <v>0</v>
      </c>
      <c r="L23" s="171">
        <f t="shared" si="3"/>
        <v>0</v>
      </c>
      <c r="M23" s="172">
        <f t="shared" si="4"/>
        <v>11592</v>
      </c>
      <c r="N23" s="177" t="s">
        <v>768</v>
      </c>
      <c r="O23" s="178"/>
      <c r="P23" s="8"/>
      <c r="Q23" s="8"/>
    </row>
    <row r="24" spans="2:17" s="1" customFormat="1" ht="31.5">
      <c r="B24" s="175" t="s">
        <v>79</v>
      </c>
      <c r="C24" s="179" t="s">
        <v>80</v>
      </c>
      <c r="D24" s="175" t="s">
        <v>81</v>
      </c>
      <c r="E24" s="175" t="s">
        <v>77</v>
      </c>
      <c r="F24" s="182">
        <v>0.85</v>
      </c>
      <c r="G24" s="176">
        <v>15000</v>
      </c>
      <c r="H24" s="176">
        <v>15000</v>
      </c>
      <c r="I24" s="171">
        <f t="shared" si="0"/>
        <v>0</v>
      </c>
      <c r="J24" s="171">
        <f t="shared" si="1"/>
        <v>0</v>
      </c>
      <c r="K24" s="171">
        <f t="shared" si="2"/>
        <v>0</v>
      </c>
      <c r="L24" s="171">
        <f t="shared" si="3"/>
        <v>0</v>
      </c>
      <c r="M24" s="172">
        <f t="shared" si="4"/>
        <v>12750</v>
      </c>
      <c r="N24" s="177" t="s">
        <v>713</v>
      </c>
      <c r="O24" s="178"/>
      <c r="P24" s="8"/>
      <c r="Q24" s="8"/>
    </row>
    <row r="25" spans="2:17" s="1" customFormat="1" ht="31.5">
      <c r="B25" s="180" t="s">
        <v>82</v>
      </c>
      <c r="C25" s="181" t="s">
        <v>80</v>
      </c>
      <c r="D25" s="180" t="s">
        <v>83</v>
      </c>
      <c r="E25" s="180" t="s">
        <v>84</v>
      </c>
      <c r="F25" s="182">
        <v>42</v>
      </c>
      <c r="G25" s="176">
        <v>150</v>
      </c>
      <c r="H25" s="176">
        <v>150</v>
      </c>
      <c r="I25" s="171">
        <f t="shared" si="0"/>
        <v>0</v>
      </c>
      <c r="J25" s="171">
        <f t="shared" si="1"/>
        <v>0</v>
      </c>
      <c r="K25" s="171">
        <f t="shared" si="2"/>
        <v>0</v>
      </c>
      <c r="L25" s="171">
        <f t="shared" si="3"/>
        <v>0</v>
      </c>
      <c r="M25" s="172">
        <f t="shared" si="4"/>
        <v>6300</v>
      </c>
      <c r="N25" s="177" t="s">
        <v>788</v>
      </c>
      <c r="O25" s="178"/>
      <c r="P25" s="8"/>
      <c r="Q25" s="8"/>
    </row>
    <row r="26" spans="2:17" s="1" customFormat="1" ht="47.25">
      <c r="B26" s="180" t="s">
        <v>86</v>
      </c>
      <c r="C26" s="181" t="s">
        <v>87</v>
      </c>
      <c r="D26" s="180" t="s">
        <v>88</v>
      </c>
      <c r="E26" s="181" t="s">
        <v>89</v>
      </c>
      <c r="F26" s="186">
        <v>1.88</v>
      </c>
      <c r="G26" s="176">
        <v>79500</v>
      </c>
      <c r="H26" s="176">
        <v>79500</v>
      </c>
      <c r="I26" s="171">
        <f t="shared" si="0"/>
        <v>0</v>
      </c>
      <c r="J26" s="171">
        <f t="shared" si="1"/>
        <v>0</v>
      </c>
      <c r="K26" s="171">
        <f t="shared" si="2"/>
        <v>0</v>
      </c>
      <c r="L26" s="171">
        <f t="shared" si="3"/>
        <v>0</v>
      </c>
      <c r="M26" s="172">
        <f t="shared" si="4"/>
        <v>149460</v>
      </c>
      <c r="N26" s="177" t="s">
        <v>738</v>
      </c>
      <c r="O26" s="178"/>
      <c r="P26" s="8"/>
      <c r="Q26" s="8"/>
    </row>
    <row r="27" spans="2:17" s="1" customFormat="1" ht="31.5">
      <c r="B27" s="175" t="s">
        <v>90</v>
      </c>
      <c r="C27" s="179" t="s">
        <v>87</v>
      </c>
      <c r="D27" s="175" t="s">
        <v>91</v>
      </c>
      <c r="E27" s="175" t="s">
        <v>493</v>
      </c>
      <c r="F27" s="186">
        <v>28</v>
      </c>
      <c r="G27" s="176">
        <v>970</v>
      </c>
      <c r="H27" s="176">
        <v>970</v>
      </c>
      <c r="I27" s="171">
        <f t="shared" si="0"/>
        <v>0</v>
      </c>
      <c r="J27" s="171">
        <f t="shared" si="1"/>
        <v>0</v>
      </c>
      <c r="K27" s="171">
        <f t="shared" si="2"/>
        <v>0</v>
      </c>
      <c r="L27" s="171">
        <f t="shared" si="3"/>
        <v>0</v>
      </c>
      <c r="M27" s="172">
        <f t="shared" si="4"/>
        <v>27160</v>
      </c>
      <c r="N27" s="177" t="s">
        <v>789</v>
      </c>
      <c r="O27" s="178"/>
      <c r="P27" s="8"/>
      <c r="Q27" s="8"/>
    </row>
    <row r="28" spans="2:17" s="1" customFormat="1" ht="31.5">
      <c r="B28" s="175" t="s">
        <v>92</v>
      </c>
      <c r="C28" s="179" t="s">
        <v>93</v>
      </c>
      <c r="D28" s="175" t="s">
        <v>94</v>
      </c>
      <c r="E28" s="175" t="s">
        <v>95</v>
      </c>
      <c r="F28" s="186">
        <v>4</v>
      </c>
      <c r="G28" s="176">
        <v>4500</v>
      </c>
      <c r="H28" s="176">
        <v>4500</v>
      </c>
      <c r="I28" s="171">
        <f t="shared" si="0"/>
        <v>0</v>
      </c>
      <c r="J28" s="171">
        <f t="shared" si="1"/>
        <v>0</v>
      </c>
      <c r="K28" s="171">
        <f t="shared" si="2"/>
        <v>0</v>
      </c>
      <c r="L28" s="171">
        <f t="shared" si="3"/>
        <v>0</v>
      </c>
      <c r="M28" s="172">
        <f t="shared" si="4"/>
        <v>18000</v>
      </c>
      <c r="N28" s="177" t="s">
        <v>773</v>
      </c>
      <c r="O28" s="178"/>
      <c r="P28" s="8"/>
      <c r="Q28" s="8"/>
    </row>
    <row r="29" spans="2:17" s="1" customFormat="1" ht="47.25">
      <c r="B29" s="180" t="s">
        <v>96</v>
      </c>
      <c r="C29" s="181" t="s">
        <v>93</v>
      </c>
      <c r="D29" s="180" t="s">
        <v>97</v>
      </c>
      <c r="E29" s="180" t="s">
        <v>28</v>
      </c>
      <c r="F29" s="186">
        <v>12</v>
      </c>
      <c r="G29" s="176">
        <v>4290</v>
      </c>
      <c r="H29" s="176">
        <v>4290</v>
      </c>
      <c r="I29" s="171">
        <f t="shared" si="0"/>
        <v>0</v>
      </c>
      <c r="J29" s="171">
        <f t="shared" si="1"/>
        <v>0</v>
      </c>
      <c r="K29" s="171">
        <f t="shared" si="2"/>
        <v>0</v>
      </c>
      <c r="L29" s="171">
        <f t="shared" si="3"/>
        <v>0</v>
      </c>
      <c r="M29" s="172">
        <f t="shared" si="4"/>
        <v>51480</v>
      </c>
      <c r="N29" s="177" t="s">
        <v>526</v>
      </c>
      <c r="O29" s="178"/>
      <c r="P29" s="8"/>
      <c r="Q29" s="8"/>
    </row>
    <row r="30" spans="2:17" s="1" customFormat="1" ht="31.5">
      <c r="B30" s="175" t="s">
        <v>99</v>
      </c>
      <c r="C30" s="179" t="s">
        <v>100</v>
      </c>
      <c r="D30" s="175" t="s">
        <v>101</v>
      </c>
      <c r="E30" s="175" t="s">
        <v>77</v>
      </c>
      <c r="F30" s="186">
        <v>1.33</v>
      </c>
      <c r="G30" s="176">
        <v>400</v>
      </c>
      <c r="H30" s="176">
        <v>400</v>
      </c>
      <c r="I30" s="171">
        <f t="shared" si="0"/>
        <v>0</v>
      </c>
      <c r="J30" s="171">
        <f t="shared" si="1"/>
        <v>0</v>
      </c>
      <c r="K30" s="171">
        <f t="shared" si="2"/>
        <v>0</v>
      </c>
      <c r="L30" s="171">
        <f t="shared" si="3"/>
        <v>0</v>
      </c>
      <c r="M30" s="172">
        <f t="shared" si="4"/>
        <v>532</v>
      </c>
      <c r="N30" s="177" t="s">
        <v>790</v>
      </c>
      <c r="O30" s="178"/>
      <c r="P30" s="8"/>
      <c r="Q30" s="8"/>
    </row>
    <row r="31" spans="2:17" s="1" customFormat="1" ht="31.5">
      <c r="B31" s="175" t="s">
        <v>102</v>
      </c>
      <c r="C31" s="179" t="s">
        <v>87</v>
      </c>
      <c r="D31" s="175" t="s">
        <v>103</v>
      </c>
      <c r="E31" s="175" t="s">
        <v>104</v>
      </c>
      <c r="F31" s="186">
        <v>5.7</v>
      </c>
      <c r="G31" s="176">
        <v>200</v>
      </c>
      <c r="H31" s="176">
        <v>200</v>
      </c>
      <c r="I31" s="171">
        <f t="shared" si="0"/>
        <v>0</v>
      </c>
      <c r="J31" s="171">
        <f t="shared" si="1"/>
        <v>0</v>
      </c>
      <c r="K31" s="171">
        <f t="shared" si="2"/>
        <v>0</v>
      </c>
      <c r="L31" s="171">
        <f t="shared" si="3"/>
        <v>0</v>
      </c>
      <c r="M31" s="172">
        <f t="shared" si="4"/>
        <v>1140</v>
      </c>
      <c r="N31" s="177" t="s">
        <v>526</v>
      </c>
      <c r="O31" s="178"/>
      <c r="P31" s="8"/>
      <c r="Q31" s="8"/>
    </row>
    <row r="32" spans="2:17" s="1" customFormat="1" ht="31.5">
      <c r="B32" s="175" t="s">
        <v>108</v>
      </c>
      <c r="C32" s="179" t="s">
        <v>109</v>
      </c>
      <c r="D32" s="175" t="s">
        <v>110</v>
      </c>
      <c r="E32" s="175" t="s">
        <v>104</v>
      </c>
      <c r="F32" s="186">
        <v>56.94</v>
      </c>
      <c r="G32" s="176">
        <v>700</v>
      </c>
      <c r="H32" s="176">
        <v>700</v>
      </c>
      <c r="I32" s="171">
        <f t="shared" si="0"/>
        <v>0</v>
      </c>
      <c r="J32" s="171">
        <f t="shared" si="1"/>
        <v>0</v>
      </c>
      <c r="K32" s="171">
        <f t="shared" si="2"/>
        <v>0</v>
      </c>
      <c r="L32" s="171">
        <f t="shared" si="3"/>
        <v>0</v>
      </c>
      <c r="M32" s="172">
        <f t="shared" si="4"/>
        <v>39858</v>
      </c>
      <c r="N32" s="177" t="s">
        <v>767</v>
      </c>
      <c r="O32" s="178"/>
      <c r="P32" s="8"/>
      <c r="Q32" s="8"/>
    </row>
    <row r="33" spans="2:17" s="1" customFormat="1" ht="31.5">
      <c r="B33" s="180" t="s">
        <v>112</v>
      </c>
      <c r="C33" s="181" t="s">
        <v>87</v>
      </c>
      <c r="D33" s="180" t="s">
        <v>113</v>
      </c>
      <c r="E33" s="180" t="s">
        <v>114</v>
      </c>
      <c r="F33" s="186">
        <v>68</v>
      </c>
      <c r="G33" s="176">
        <v>9260</v>
      </c>
      <c r="H33" s="176">
        <v>9260</v>
      </c>
      <c r="I33" s="171">
        <f t="shared" si="0"/>
        <v>0</v>
      </c>
      <c r="J33" s="171">
        <f t="shared" si="1"/>
        <v>0</v>
      </c>
      <c r="K33" s="171">
        <f t="shared" si="2"/>
        <v>0</v>
      </c>
      <c r="L33" s="171">
        <f t="shared" si="3"/>
        <v>0</v>
      </c>
      <c r="M33" s="172">
        <f t="shared" si="4"/>
        <v>629680</v>
      </c>
      <c r="N33" s="177" t="s">
        <v>48</v>
      </c>
      <c r="O33" s="178"/>
      <c r="P33" s="8"/>
      <c r="Q33" s="8"/>
    </row>
    <row r="34" spans="2:17" s="1" customFormat="1" ht="54" customHeight="1">
      <c r="B34" s="183" t="s">
        <v>791</v>
      </c>
      <c r="C34" s="187" t="s">
        <v>792</v>
      </c>
      <c r="D34" s="174" t="s">
        <v>711</v>
      </c>
      <c r="E34" s="180" t="s">
        <v>793</v>
      </c>
      <c r="F34" s="186">
        <v>11.33</v>
      </c>
      <c r="G34" s="176">
        <v>8550</v>
      </c>
      <c r="H34" s="176">
        <v>8550</v>
      </c>
      <c r="I34" s="171">
        <f t="shared" si="0"/>
        <v>0</v>
      </c>
      <c r="J34" s="171">
        <f t="shared" si="1"/>
        <v>0</v>
      </c>
      <c r="K34" s="171">
        <f t="shared" si="2"/>
        <v>0</v>
      </c>
      <c r="L34" s="171">
        <f t="shared" si="3"/>
        <v>0</v>
      </c>
      <c r="M34" s="172">
        <f t="shared" si="4"/>
        <v>96871.5</v>
      </c>
      <c r="N34" s="177" t="s">
        <v>713</v>
      </c>
      <c r="O34" s="178"/>
      <c r="P34" s="8"/>
      <c r="Q34" s="8"/>
    </row>
    <row r="35" spans="2:17" s="1" customFormat="1" ht="47.25">
      <c r="B35" s="180" t="s">
        <v>115</v>
      </c>
      <c r="C35" s="180" t="s">
        <v>116</v>
      </c>
      <c r="D35" s="180" t="s">
        <v>117</v>
      </c>
      <c r="E35" s="180" t="s">
        <v>118</v>
      </c>
      <c r="F35" s="186">
        <v>33</v>
      </c>
      <c r="G35" s="176">
        <v>2400</v>
      </c>
      <c r="H35" s="176">
        <v>2400</v>
      </c>
      <c r="I35" s="171">
        <f t="shared" si="0"/>
        <v>0</v>
      </c>
      <c r="J35" s="171">
        <f t="shared" si="1"/>
        <v>0</v>
      </c>
      <c r="K35" s="171">
        <f t="shared" si="2"/>
        <v>0</v>
      </c>
      <c r="L35" s="171">
        <f t="shared" si="3"/>
        <v>0</v>
      </c>
      <c r="M35" s="172">
        <f t="shared" si="4"/>
        <v>79200</v>
      </c>
      <c r="N35" s="177" t="s">
        <v>757</v>
      </c>
      <c r="O35" s="178"/>
      <c r="P35" s="8"/>
      <c r="Q35" s="8"/>
    </row>
    <row r="36" spans="2:17" s="1" customFormat="1" ht="47.25">
      <c r="B36" s="180" t="s">
        <v>120</v>
      </c>
      <c r="C36" s="181" t="s">
        <v>121</v>
      </c>
      <c r="D36" s="181" t="s">
        <v>122</v>
      </c>
      <c r="E36" s="180" t="s">
        <v>123</v>
      </c>
      <c r="F36" s="186">
        <v>10</v>
      </c>
      <c r="G36" s="176">
        <v>9800</v>
      </c>
      <c r="H36" s="176">
        <v>9800</v>
      </c>
      <c r="I36" s="171">
        <f t="shared" si="0"/>
        <v>0</v>
      </c>
      <c r="J36" s="171">
        <f t="shared" si="1"/>
        <v>0</v>
      </c>
      <c r="K36" s="171">
        <f t="shared" si="2"/>
        <v>0</v>
      </c>
      <c r="L36" s="171">
        <f t="shared" si="3"/>
        <v>0</v>
      </c>
      <c r="M36" s="172">
        <f t="shared" si="4"/>
        <v>98000</v>
      </c>
      <c r="N36" s="177" t="s">
        <v>768</v>
      </c>
      <c r="O36" s="178"/>
      <c r="P36" s="8"/>
      <c r="Q36" s="8"/>
    </row>
    <row r="37" spans="2:17" s="1" customFormat="1" ht="31.5">
      <c r="B37" s="180" t="s">
        <v>714</v>
      </c>
      <c r="C37" s="180" t="s">
        <v>137</v>
      </c>
      <c r="D37" s="180" t="s">
        <v>715</v>
      </c>
      <c r="E37" s="180" t="s">
        <v>152</v>
      </c>
      <c r="F37" s="182">
        <v>35</v>
      </c>
      <c r="G37" s="176">
        <v>9650</v>
      </c>
      <c r="H37" s="176">
        <v>9650</v>
      </c>
      <c r="I37" s="171">
        <f t="shared" ref="I37" si="5">G37-H37</f>
        <v>0</v>
      </c>
      <c r="J37" s="171">
        <f t="shared" si="1"/>
        <v>0</v>
      </c>
      <c r="K37" s="171">
        <f t="shared" si="2"/>
        <v>0</v>
      </c>
      <c r="L37" s="171">
        <f t="shared" si="3"/>
        <v>0</v>
      </c>
      <c r="M37" s="172">
        <f t="shared" si="4"/>
        <v>337750</v>
      </c>
      <c r="N37" s="177" t="s">
        <v>721</v>
      </c>
      <c r="O37" s="178"/>
      <c r="P37" s="8"/>
      <c r="Q37" s="8"/>
    </row>
    <row r="38" spans="2:17" s="1" customFormat="1" ht="47.25">
      <c r="B38" s="180" t="s">
        <v>136</v>
      </c>
      <c r="C38" s="180" t="s">
        <v>137</v>
      </c>
      <c r="D38" s="174" t="s">
        <v>138</v>
      </c>
      <c r="E38" s="180" t="s">
        <v>118</v>
      </c>
      <c r="F38" s="182">
        <v>25</v>
      </c>
      <c r="G38" s="176">
        <v>9300</v>
      </c>
      <c r="H38" s="176">
        <v>9300</v>
      </c>
      <c r="I38" s="171">
        <f t="shared" ref="I38:I77" si="6">G38-H38</f>
        <v>0</v>
      </c>
      <c r="J38" s="171">
        <f t="shared" si="1"/>
        <v>0</v>
      </c>
      <c r="K38" s="171">
        <f t="shared" si="2"/>
        <v>0</v>
      </c>
      <c r="L38" s="171">
        <f t="shared" si="3"/>
        <v>0</v>
      </c>
      <c r="M38" s="172">
        <f t="shared" si="4"/>
        <v>232500</v>
      </c>
      <c r="N38" s="177" t="s">
        <v>794</v>
      </c>
      <c r="O38" s="178"/>
      <c r="P38" s="8"/>
      <c r="Q38" s="8"/>
    </row>
    <row r="39" spans="2:17" s="1" customFormat="1" ht="31.5">
      <c r="B39" s="180" t="s">
        <v>795</v>
      </c>
      <c r="C39" s="180" t="s">
        <v>796</v>
      </c>
      <c r="D39" s="180" t="s">
        <v>797</v>
      </c>
      <c r="E39" s="180" t="s">
        <v>798</v>
      </c>
      <c r="F39" s="182">
        <v>0.9</v>
      </c>
      <c r="G39" s="176">
        <v>500</v>
      </c>
      <c r="H39" s="176">
        <v>500</v>
      </c>
      <c r="I39" s="171">
        <f t="shared" si="6"/>
        <v>0</v>
      </c>
      <c r="J39" s="171">
        <f t="shared" si="1"/>
        <v>0</v>
      </c>
      <c r="K39" s="171">
        <f t="shared" si="2"/>
        <v>0</v>
      </c>
      <c r="L39" s="171">
        <f t="shared" si="3"/>
        <v>0</v>
      </c>
      <c r="M39" s="172">
        <f t="shared" si="4"/>
        <v>450</v>
      </c>
      <c r="N39" s="177" t="s">
        <v>768</v>
      </c>
      <c r="O39" s="178"/>
      <c r="P39" s="8"/>
      <c r="Q39" s="8"/>
    </row>
    <row r="40" spans="2:17" s="1" customFormat="1" ht="47.25">
      <c r="B40" s="178" t="s">
        <v>799</v>
      </c>
      <c r="C40" s="174" t="s">
        <v>93</v>
      </c>
      <c r="D40" s="174" t="s">
        <v>800</v>
      </c>
      <c r="E40" s="180" t="s">
        <v>89</v>
      </c>
      <c r="F40" s="182">
        <v>6.75</v>
      </c>
      <c r="G40" s="176">
        <v>210</v>
      </c>
      <c r="H40" s="176">
        <v>210</v>
      </c>
      <c r="I40" s="171">
        <f t="shared" si="6"/>
        <v>0</v>
      </c>
      <c r="J40" s="171">
        <f t="shared" si="1"/>
        <v>0</v>
      </c>
      <c r="K40" s="171">
        <f t="shared" si="2"/>
        <v>0</v>
      </c>
      <c r="L40" s="171">
        <f t="shared" si="3"/>
        <v>0</v>
      </c>
      <c r="M40" s="172">
        <f t="shared" si="4"/>
        <v>1417.5</v>
      </c>
      <c r="N40" s="177" t="s">
        <v>767</v>
      </c>
      <c r="O40" s="178"/>
      <c r="P40" s="8"/>
      <c r="Q40" s="8"/>
    </row>
    <row r="41" spans="2:17" s="1" customFormat="1" ht="47.25">
      <c r="B41" s="175" t="s">
        <v>801</v>
      </c>
      <c r="C41" s="174" t="s">
        <v>802</v>
      </c>
      <c r="D41" s="174" t="s">
        <v>803</v>
      </c>
      <c r="E41" s="180" t="s">
        <v>421</v>
      </c>
      <c r="F41" s="182">
        <v>0.65</v>
      </c>
      <c r="G41" s="176">
        <v>2000</v>
      </c>
      <c r="H41" s="176">
        <v>2000</v>
      </c>
      <c r="I41" s="171">
        <f t="shared" si="6"/>
        <v>0</v>
      </c>
      <c r="J41" s="171">
        <f t="shared" si="1"/>
        <v>0</v>
      </c>
      <c r="K41" s="171">
        <f t="shared" si="2"/>
        <v>0</v>
      </c>
      <c r="L41" s="171">
        <f t="shared" si="3"/>
        <v>0</v>
      </c>
      <c r="M41" s="172">
        <f t="shared" si="4"/>
        <v>1300</v>
      </c>
      <c r="N41" s="177" t="s">
        <v>788</v>
      </c>
      <c r="O41" s="178"/>
      <c r="P41" s="8"/>
      <c r="Q41" s="8"/>
    </row>
    <row r="42" spans="2:17" s="1" customFormat="1" ht="47.25">
      <c r="B42" s="175" t="s">
        <v>140</v>
      </c>
      <c r="C42" s="179" t="s">
        <v>141</v>
      </c>
      <c r="D42" s="175" t="s">
        <v>142</v>
      </c>
      <c r="E42" s="175" t="s">
        <v>123</v>
      </c>
      <c r="F42" s="182">
        <v>10</v>
      </c>
      <c r="G42" s="176">
        <v>700</v>
      </c>
      <c r="H42" s="176">
        <v>700</v>
      </c>
      <c r="I42" s="171">
        <f t="shared" si="6"/>
        <v>0</v>
      </c>
      <c r="J42" s="171">
        <f t="shared" si="1"/>
        <v>0</v>
      </c>
      <c r="K42" s="171">
        <f t="shared" si="2"/>
        <v>0</v>
      </c>
      <c r="L42" s="171">
        <f t="shared" si="3"/>
        <v>0</v>
      </c>
      <c r="M42" s="172">
        <f t="shared" si="4"/>
        <v>7000</v>
      </c>
      <c r="N42" s="177" t="s">
        <v>804</v>
      </c>
      <c r="O42" s="178"/>
      <c r="P42" s="8"/>
      <c r="Q42" s="8"/>
    </row>
    <row r="43" spans="2:17" s="1" customFormat="1" ht="47.25">
      <c r="B43" s="175" t="s">
        <v>805</v>
      </c>
      <c r="C43" s="174" t="s">
        <v>806</v>
      </c>
      <c r="D43" s="175" t="s">
        <v>807</v>
      </c>
      <c r="E43" s="175" t="s">
        <v>118</v>
      </c>
      <c r="F43" s="182">
        <v>1.98</v>
      </c>
      <c r="G43" s="176">
        <v>2000</v>
      </c>
      <c r="H43" s="176">
        <v>2000</v>
      </c>
      <c r="I43" s="171">
        <f t="shared" si="6"/>
        <v>0</v>
      </c>
      <c r="J43" s="171">
        <f t="shared" si="1"/>
        <v>0</v>
      </c>
      <c r="K43" s="171">
        <f t="shared" si="2"/>
        <v>0</v>
      </c>
      <c r="L43" s="171">
        <f t="shared" si="3"/>
        <v>0</v>
      </c>
      <c r="M43" s="172">
        <f t="shared" si="4"/>
        <v>3960</v>
      </c>
      <c r="N43" s="177" t="s">
        <v>808</v>
      </c>
      <c r="O43" s="178"/>
      <c r="P43" s="8"/>
      <c r="Q43" s="8"/>
    </row>
    <row r="44" spans="2:17" s="1" customFormat="1" ht="47.25">
      <c r="B44" s="175" t="s">
        <v>144</v>
      </c>
      <c r="C44" s="179" t="s">
        <v>145</v>
      </c>
      <c r="D44" s="175" t="s">
        <v>146</v>
      </c>
      <c r="E44" s="175" t="s">
        <v>118</v>
      </c>
      <c r="F44" s="182">
        <v>5.56</v>
      </c>
      <c r="G44" s="176">
        <v>4000</v>
      </c>
      <c r="H44" s="176">
        <v>4000</v>
      </c>
      <c r="I44" s="171">
        <f t="shared" si="6"/>
        <v>0</v>
      </c>
      <c r="J44" s="171">
        <f t="shared" si="1"/>
        <v>0</v>
      </c>
      <c r="K44" s="171">
        <f t="shared" si="2"/>
        <v>0</v>
      </c>
      <c r="L44" s="171">
        <f t="shared" si="3"/>
        <v>0</v>
      </c>
      <c r="M44" s="172">
        <f t="shared" si="4"/>
        <v>22240</v>
      </c>
      <c r="N44" s="177" t="s">
        <v>773</v>
      </c>
      <c r="O44" s="178"/>
      <c r="P44" s="8"/>
      <c r="Q44" s="8"/>
    </row>
    <row r="45" spans="2:17" s="1" customFormat="1" ht="47.25">
      <c r="B45" s="175" t="s">
        <v>147</v>
      </c>
      <c r="C45" s="175" t="s">
        <v>148</v>
      </c>
      <c r="D45" s="175" t="s">
        <v>149</v>
      </c>
      <c r="E45" s="175" t="s">
        <v>118</v>
      </c>
      <c r="F45" s="182">
        <v>0.75</v>
      </c>
      <c r="G45" s="176">
        <v>3500</v>
      </c>
      <c r="H45" s="176">
        <v>3500</v>
      </c>
      <c r="I45" s="171">
        <f t="shared" si="6"/>
        <v>0</v>
      </c>
      <c r="J45" s="171">
        <f t="shared" si="1"/>
        <v>0</v>
      </c>
      <c r="K45" s="171">
        <f t="shared" si="2"/>
        <v>0</v>
      </c>
      <c r="L45" s="171">
        <f t="shared" si="3"/>
        <v>0</v>
      </c>
      <c r="M45" s="172">
        <f t="shared" si="4"/>
        <v>2625</v>
      </c>
      <c r="N45" s="177" t="s">
        <v>809</v>
      </c>
      <c r="O45" s="178"/>
      <c r="P45" s="8"/>
      <c r="Q45" s="8"/>
    </row>
    <row r="46" spans="2:17" s="1" customFormat="1" ht="31.5">
      <c r="B46" s="175" t="s">
        <v>810</v>
      </c>
      <c r="C46" s="174" t="s">
        <v>811</v>
      </c>
      <c r="D46" s="174" t="s">
        <v>812</v>
      </c>
      <c r="E46" s="175" t="s">
        <v>250</v>
      </c>
      <c r="F46" s="182">
        <v>85</v>
      </c>
      <c r="G46" s="176">
        <v>1160</v>
      </c>
      <c r="H46" s="176">
        <v>1160</v>
      </c>
      <c r="I46" s="171">
        <f t="shared" si="6"/>
        <v>0</v>
      </c>
      <c r="J46" s="171">
        <f t="shared" si="1"/>
        <v>0</v>
      </c>
      <c r="K46" s="171">
        <f t="shared" si="2"/>
        <v>0</v>
      </c>
      <c r="L46" s="171">
        <f t="shared" si="3"/>
        <v>0</v>
      </c>
      <c r="M46" s="172">
        <f t="shared" si="4"/>
        <v>98600</v>
      </c>
      <c r="N46" s="177" t="s">
        <v>768</v>
      </c>
      <c r="O46" s="178"/>
      <c r="P46" s="8"/>
      <c r="Q46" s="8"/>
    </row>
    <row r="47" spans="2:17" s="1" customFormat="1" ht="31.5">
      <c r="B47" s="180" t="s">
        <v>150</v>
      </c>
      <c r="C47" s="180" t="s">
        <v>148</v>
      </c>
      <c r="D47" s="180" t="s">
        <v>151</v>
      </c>
      <c r="E47" s="180" t="s">
        <v>152</v>
      </c>
      <c r="F47" s="182">
        <v>90</v>
      </c>
      <c r="G47" s="176">
        <v>130</v>
      </c>
      <c r="H47" s="176">
        <v>130</v>
      </c>
      <c r="I47" s="171">
        <f t="shared" si="6"/>
        <v>0</v>
      </c>
      <c r="J47" s="171">
        <f t="shared" si="1"/>
        <v>0</v>
      </c>
      <c r="K47" s="171">
        <f t="shared" si="2"/>
        <v>0</v>
      </c>
      <c r="L47" s="171">
        <f t="shared" si="3"/>
        <v>0</v>
      </c>
      <c r="M47" s="172">
        <f t="shared" si="4"/>
        <v>11700</v>
      </c>
      <c r="N47" s="177" t="s">
        <v>813</v>
      </c>
      <c r="O47" s="178"/>
      <c r="P47" s="8"/>
      <c r="Q47" s="8"/>
    </row>
    <row r="48" spans="2:17" s="1" customFormat="1" ht="60" customHeight="1">
      <c r="B48" s="175" t="s">
        <v>153</v>
      </c>
      <c r="C48" s="175" t="s">
        <v>154</v>
      </c>
      <c r="D48" s="175" t="s">
        <v>155</v>
      </c>
      <c r="E48" s="184" t="s">
        <v>118</v>
      </c>
      <c r="F48" s="182">
        <v>8</v>
      </c>
      <c r="G48" s="176">
        <v>1700</v>
      </c>
      <c r="H48" s="176">
        <v>1700</v>
      </c>
      <c r="I48" s="171">
        <f t="shared" si="6"/>
        <v>0</v>
      </c>
      <c r="J48" s="171">
        <f t="shared" si="1"/>
        <v>0</v>
      </c>
      <c r="K48" s="171">
        <f t="shared" si="2"/>
        <v>0</v>
      </c>
      <c r="L48" s="171">
        <f t="shared" si="3"/>
        <v>0</v>
      </c>
      <c r="M48" s="172">
        <f t="shared" si="4"/>
        <v>13600</v>
      </c>
      <c r="N48" s="177" t="s">
        <v>526</v>
      </c>
      <c r="O48" s="178"/>
      <c r="P48" s="8"/>
      <c r="Q48" s="8"/>
    </row>
    <row r="49" spans="2:19" s="1" customFormat="1" ht="47.25">
      <c r="B49" s="185" t="s">
        <v>814</v>
      </c>
      <c r="C49" s="175" t="s">
        <v>154</v>
      </c>
      <c r="D49" s="175" t="s">
        <v>815</v>
      </c>
      <c r="E49" s="184" t="s">
        <v>118</v>
      </c>
      <c r="F49" s="182">
        <v>14</v>
      </c>
      <c r="G49" s="176">
        <v>2400</v>
      </c>
      <c r="H49" s="176">
        <v>2400</v>
      </c>
      <c r="I49" s="171">
        <f t="shared" si="6"/>
        <v>0</v>
      </c>
      <c r="J49" s="171">
        <f t="shared" si="1"/>
        <v>0</v>
      </c>
      <c r="K49" s="171">
        <f t="shared" si="2"/>
        <v>0</v>
      </c>
      <c r="L49" s="171">
        <f t="shared" si="3"/>
        <v>0</v>
      </c>
      <c r="M49" s="172">
        <f t="shared" si="4"/>
        <v>33600</v>
      </c>
      <c r="N49" s="177" t="s">
        <v>526</v>
      </c>
      <c r="O49" s="178"/>
      <c r="P49" s="8"/>
      <c r="Q49" s="8"/>
    </row>
    <row r="50" spans="2:19" s="1" customFormat="1" ht="47.25">
      <c r="B50" s="180" t="s">
        <v>160</v>
      </c>
      <c r="C50" s="180" t="s">
        <v>161</v>
      </c>
      <c r="D50" s="180" t="s">
        <v>162</v>
      </c>
      <c r="E50" s="180" t="s">
        <v>28</v>
      </c>
      <c r="F50" s="186">
        <v>27</v>
      </c>
      <c r="G50" s="176">
        <v>6100</v>
      </c>
      <c r="H50" s="176">
        <v>6100</v>
      </c>
      <c r="I50" s="171">
        <f t="shared" si="6"/>
        <v>0</v>
      </c>
      <c r="J50" s="171">
        <f t="shared" si="1"/>
        <v>0</v>
      </c>
      <c r="K50" s="171">
        <f t="shared" si="2"/>
        <v>0</v>
      </c>
      <c r="L50" s="171">
        <f t="shared" si="3"/>
        <v>0</v>
      </c>
      <c r="M50" s="172">
        <f t="shared" si="4"/>
        <v>164700</v>
      </c>
      <c r="N50" s="177" t="s">
        <v>692</v>
      </c>
      <c r="O50" s="178"/>
      <c r="P50" s="8"/>
      <c r="Q50" s="8"/>
    </row>
    <row r="51" spans="2:19" s="1" customFormat="1" ht="31.5">
      <c r="B51" s="180" t="s">
        <v>163</v>
      </c>
      <c r="C51" s="180" t="s">
        <v>161</v>
      </c>
      <c r="D51" s="180" t="s">
        <v>164</v>
      </c>
      <c r="E51" s="180" t="s">
        <v>165</v>
      </c>
      <c r="F51" s="186">
        <v>280</v>
      </c>
      <c r="G51" s="176">
        <v>364</v>
      </c>
      <c r="H51" s="176">
        <v>364</v>
      </c>
      <c r="I51" s="171">
        <f t="shared" si="6"/>
        <v>0</v>
      </c>
      <c r="J51" s="171">
        <f t="shared" si="1"/>
        <v>0</v>
      </c>
      <c r="K51" s="171">
        <f t="shared" si="2"/>
        <v>0</v>
      </c>
      <c r="L51" s="171">
        <f t="shared" si="3"/>
        <v>0</v>
      </c>
      <c r="M51" s="172">
        <f t="shared" si="4"/>
        <v>101920</v>
      </c>
      <c r="N51" s="177" t="s">
        <v>766</v>
      </c>
      <c r="O51" s="178"/>
      <c r="P51" s="8"/>
      <c r="Q51" s="8"/>
    </row>
    <row r="52" spans="2:19" s="1" customFormat="1" ht="47.25">
      <c r="B52" s="180" t="s">
        <v>816</v>
      </c>
      <c r="C52" s="174" t="s">
        <v>817</v>
      </c>
      <c r="D52" s="174" t="s">
        <v>818</v>
      </c>
      <c r="E52" s="180" t="s">
        <v>421</v>
      </c>
      <c r="F52" s="186">
        <v>1.45</v>
      </c>
      <c r="G52" s="176">
        <v>2400</v>
      </c>
      <c r="H52" s="176">
        <v>2400</v>
      </c>
      <c r="I52" s="171">
        <f t="shared" si="6"/>
        <v>0</v>
      </c>
      <c r="J52" s="171">
        <f t="shared" si="1"/>
        <v>0</v>
      </c>
      <c r="K52" s="171">
        <f t="shared" si="2"/>
        <v>0</v>
      </c>
      <c r="L52" s="171">
        <f t="shared" si="3"/>
        <v>0</v>
      </c>
      <c r="M52" s="172">
        <f t="shared" si="4"/>
        <v>3480</v>
      </c>
      <c r="N52" s="177" t="s">
        <v>819</v>
      </c>
      <c r="O52" s="178"/>
      <c r="P52" s="8"/>
      <c r="Q52" s="8"/>
    </row>
    <row r="53" spans="2:19" s="1" customFormat="1" ht="47.25">
      <c r="B53" s="175" t="s">
        <v>167</v>
      </c>
      <c r="C53" s="179" t="s">
        <v>168</v>
      </c>
      <c r="D53" s="175" t="s">
        <v>169</v>
      </c>
      <c r="E53" s="175" t="s">
        <v>28</v>
      </c>
      <c r="F53" s="186">
        <v>1190</v>
      </c>
      <c r="G53" s="176">
        <v>10</v>
      </c>
      <c r="H53" s="176">
        <v>10</v>
      </c>
      <c r="I53" s="171">
        <f t="shared" si="6"/>
        <v>0</v>
      </c>
      <c r="J53" s="171">
        <f t="shared" si="1"/>
        <v>0</v>
      </c>
      <c r="K53" s="171">
        <f t="shared" si="2"/>
        <v>0</v>
      </c>
      <c r="L53" s="171">
        <f t="shared" si="3"/>
        <v>0</v>
      </c>
      <c r="M53" s="172">
        <f t="shared" si="4"/>
        <v>11900</v>
      </c>
      <c r="N53" s="177" t="s">
        <v>721</v>
      </c>
      <c r="O53" s="178"/>
      <c r="P53" s="8"/>
      <c r="Q53" s="8"/>
    </row>
    <row r="54" spans="2:19" s="1" customFormat="1" ht="36" customHeight="1">
      <c r="B54" s="175" t="s">
        <v>820</v>
      </c>
      <c r="C54" s="174" t="s">
        <v>821</v>
      </c>
      <c r="D54" s="174" t="s">
        <v>822</v>
      </c>
      <c r="E54" s="175" t="s">
        <v>421</v>
      </c>
      <c r="F54" s="186">
        <v>0.62</v>
      </c>
      <c r="G54" s="176">
        <v>4000</v>
      </c>
      <c r="H54" s="176">
        <v>4000</v>
      </c>
      <c r="I54" s="171">
        <f t="shared" si="6"/>
        <v>0</v>
      </c>
      <c r="J54" s="171">
        <f t="shared" si="1"/>
        <v>0</v>
      </c>
      <c r="K54" s="171">
        <f t="shared" si="2"/>
        <v>0</v>
      </c>
      <c r="L54" s="171">
        <f t="shared" si="3"/>
        <v>0</v>
      </c>
      <c r="M54" s="172">
        <f t="shared" si="4"/>
        <v>2480</v>
      </c>
      <c r="N54" s="177" t="s">
        <v>788</v>
      </c>
      <c r="O54" s="178"/>
      <c r="P54" s="8"/>
      <c r="Q54" s="8"/>
    </row>
    <row r="55" spans="2:19" s="1" customFormat="1" ht="31.5">
      <c r="B55" s="175" t="s">
        <v>170</v>
      </c>
      <c r="C55" s="179" t="s">
        <v>171</v>
      </c>
      <c r="D55" s="174" t="s">
        <v>172</v>
      </c>
      <c r="E55" s="175" t="s">
        <v>56</v>
      </c>
      <c r="F55" s="186">
        <v>100</v>
      </c>
      <c r="G55" s="176">
        <v>40</v>
      </c>
      <c r="H55" s="176">
        <v>40</v>
      </c>
      <c r="I55" s="171">
        <f t="shared" si="6"/>
        <v>0</v>
      </c>
      <c r="J55" s="171">
        <f t="shared" si="1"/>
        <v>0</v>
      </c>
      <c r="K55" s="171">
        <f t="shared" si="2"/>
        <v>0</v>
      </c>
      <c r="L55" s="171">
        <f t="shared" si="3"/>
        <v>0</v>
      </c>
      <c r="M55" s="172">
        <f t="shared" si="4"/>
        <v>4000</v>
      </c>
      <c r="N55" s="177" t="s">
        <v>732</v>
      </c>
      <c r="O55" s="178"/>
      <c r="P55" s="8"/>
      <c r="Q55" s="8"/>
    </row>
    <row r="56" spans="2:19" s="1" customFormat="1" ht="15.75">
      <c r="B56" s="175" t="s">
        <v>173</v>
      </c>
      <c r="C56" s="179" t="s">
        <v>174</v>
      </c>
      <c r="D56" s="174" t="s">
        <v>222</v>
      </c>
      <c r="E56" s="175" t="s">
        <v>175</v>
      </c>
      <c r="F56" s="186">
        <v>45</v>
      </c>
      <c r="G56" s="176">
        <v>600</v>
      </c>
      <c r="H56" s="176">
        <v>600</v>
      </c>
      <c r="I56" s="171">
        <f t="shared" si="6"/>
        <v>0</v>
      </c>
      <c r="J56" s="171">
        <f t="shared" si="1"/>
        <v>0</v>
      </c>
      <c r="K56" s="171">
        <f t="shared" si="2"/>
        <v>0</v>
      </c>
      <c r="L56" s="171">
        <f t="shared" si="3"/>
        <v>0</v>
      </c>
      <c r="M56" s="172">
        <f t="shared" si="4"/>
        <v>27000</v>
      </c>
      <c r="N56" s="177" t="s">
        <v>823</v>
      </c>
      <c r="O56" s="178"/>
      <c r="P56" s="8"/>
      <c r="Q56" s="8"/>
    </row>
    <row r="57" spans="2:19" s="1" customFormat="1" ht="63">
      <c r="B57" s="180" t="s">
        <v>824</v>
      </c>
      <c r="C57" s="174" t="s">
        <v>825</v>
      </c>
      <c r="D57" s="174" t="s">
        <v>826</v>
      </c>
      <c r="E57" s="175" t="s">
        <v>233</v>
      </c>
      <c r="F57" s="186">
        <v>10</v>
      </c>
      <c r="G57" s="176">
        <v>150</v>
      </c>
      <c r="H57" s="176">
        <v>150</v>
      </c>
      <c r="I57" s="171">
        <f t="shared" si="6"/>
        <v>0</v>
      </c>
      <c r="J57" s="171">
        <f t="shared" si="1"/>
        <v>0</v>
      </c>
      <c r="K57" s="171">
        <f t="shared" si="2"/>
        <v>0</v>
      </c>
      <c r="L57" s="171">
        <f t="shared" si="3"/>
        <v>0</v>
      </c>
      <c r="M57" s="172">
        <f t="shared" si="4"/>
        <v>1500</v>
      </c>
      <c r="N57" s="177" t="s">
        <v>757</v>
      </c>
      <c r="O57" s="178"/>
      <c r="P57" s="8"/>
      <c r="Q57" s="8"/>
    </row>
    <row r="58" spans="2:19" s="1" customFormat="1" ht="47.25">
      <c r="B58" s="180" t="s">
        <v>827</v>
      </c>
      <c r="C58" s="174" t="s">
        <v>828</v>
      </c>
      <c r="D58" s="174" t="s">
        <v>829</v>
      </c>
      <c r="E58" s="175" t="s">
        <v>421</v>
      </c>
      <c r="F58" s="186">
        <v>3.3</v>
      </c>
      <c r="G58" s="176">
        <v>2600</v>
      </c>
      <c r="H58" s="176">
        <v>2600</v>
      </c>
      <c r="I58" s="171">
        <f t="shared" si="6"/>
        <v>0</v>
      </c>
      <c r="J58" s="171">
        <f t="shared" si="1"/>
        <v>0</v>
      </c>
      <c r="K58" s="171">
        <f t="shared" si="2"/>
        <v>0</v>
      </c>
      <c r="L58" s="171">
        <f t="shared" si="3"/>
        <v>0</v>
      </c>
      <c r="M58" s="172">
        <f t="shared" si="4"/>
        <v>8580</v>
      </c>
      <c r="N58" s="177" t="s">
        <v>691</v>
      </c>
      <c r="O58" s="178"/>
      <c r="P58" s="8"/>
      <c r="Q58" s="8"/>
    </row>
    <row r="59" spans="2:19" s="1" customFormat="1" ht="31.5">
      <c r="B59" s="180" t="s">
        <v>830</v>
      </c>
      <c r="C59" s="174" t="s">
        <v>828</v>
      </c>
      <c r="D59" s="174" t="s">
        <v>831</v>
      </c>
      <c r="E59" s="180" t="s">
        <v>84</v>
      </c>
      <c r="F59" s="186">
        <v>645</v>
      </c>
      <c r="G59" s="176">
        <v>10</v>
      </c>
      <c r="H59" s="176">
        <v>10</v>
      </c>
      <c r="I59" s="171">
        <f t="shared" si="6"/>
        <v>0</v>
      </c>
      <c r="J59" s="171">
        <f t="shared" si="1"/>
        <v>0</v>
      </c>
      <c r="K59" s="171">
        <f t="shared" si="2"/>
        <v>0</v>
      </c>
      <c r="L59" s="171">
        <f t="shared" si="3"/>
        <v>0</v>
      </c>
      <c r="M59" s="172">
        <f t="shared" si="4"/>
        <v>6450</v>
      </c>
      <c r="N59" s="177" t="s">
        <v>713</v>
      </c>
      <c r="O59" s="178"/>
      <c r="P59" s="8"/>
      <c r="Q59" s="8"/>
    </row>
    <row r="60" spans="2:19" s="1" customFormat="1" ht="47.25">
      <c r="B60" s="180" t="s">
        <v>180</v>
      </c>
      <c r="C60" s="180" t="s">
        <v>161</v>
      </c>
      <c r="D60" s="180" t="s">
        <v>181</v>
      </c>
      <c r="E60" s="180" t="s">
        <v>118</v>
      </c>
      <c r="F60" s="186">
        <v>2.5</v>
      </c>
      <c r="G60" s="176">
        <v>5400</v>
      </c>
      <c r="H60" s="176">
        <v>5400</v>
      </c>
      <c r="I60" s="171">
        <f t="shared" si="6"/>
        <v>0</v>
      </c>
      <c r="J60" s="171">
        <f t="shared" si="1"/>
        <v>0</v>
      </c>
      <c r="K60" s="171">
        <f t="shared" si="2"/>
        <v>0</v>
      </c>
      <c r="L60" s="171">
        <f t="shared" si="3"/>
        <v>0</v>
      </c>
      <c r="M60" s="172">
        <f t="shared" si="4"/>
        <v>13500</v>
      </c>
      <c r="N60" s="177" t="s">
        <v>773</v>
      </c>
      <c r="O60" s="178"/>
      <c r="P60" s="8"/>
      <c r="Q60" s="8"/>
    </row>
    <row r="61" spans="2:19" s="1" customFormat="1" ht="15.75">
      <c r="B61" s="175" t="s">
        <v>182</v>
      </c>
      <c r="C61" s="175" t="s">
        <v>183</v>
      </c>
      <c r="D61" s="175" t="s">
        <v>184</v>
      </c>
      <c r="E61" s="175" t="s">
        <v>185</v>
      </c>
      <c r="F61" s="186">
        <v>53</v>
      </c>
      <c r="G61" s="176">
        <v>4500</v>
      </c>
      <c r="H61" s="176">
        <v>4500</v>
      </c>
      <c r="I61" s="171">
        <f t="shared" si="6"/>
        <v>0</v>
      </c>
      <c r="J61" s="171">
        <f t="shared" si="1"/>
        <v>0</v>
      </c>
      <c r="K61" s="171">
        <f t="shared" si="2"/>
        <v>0</v>
      </c>
      <c r="L61" s="171">
        <f t="shared" si="3"/>
        <v>0</v>
      </c>
      <c r="M61" s="172">
        <f t="shared" si="4"/>
        <v>238500</v>
      </c>
      <c r="N61" s="177" t="s">
        <v>779</v>
      </c>
      <c r="O61" s="178"/>
      <c r="P61" s="8"/>
      <c r="Q61" s="8"/>
    </row>
    <row r="62" spans="2:19" s="1" customFormat="1" ht="47.25">
      <c r="B62" s="175" t="s">
        <v>832</v>
      </c>
      <c r="C62" s="174" t="s">
        <v>825</v>
      </c>
      <c r="D62" s="174" t="s">
        <v>833</v>
      </c>
      <c r="E62" s="175" t="s">
        <v>421</v>
      </c>
      <c r="F62" s="186">
        <v>2.4</v>
      </c>
      <c r="G62" s="176">
        <v>500</v>
      </c>
      <c r="H62" s="176">
        <v>500</v>
      </c>
      <c r="I62" s="171">
        <f t="shared" si="6"/>
        <v>0</v>
      </c>
      <c r="J62" s="171">
        <f t="shared" si="1"/>
        <v>0</v>
      </c>
      <c r="K62" s="171">
        <f t="shared" si="2"/>
        <v>0</v>
      </c>
      <c r="L62" s="171">
        <f t="shared" si="3"/>
        <v>0</v>
      </c>
      <c r="M62" s="172">
        <f t="shared" si="4"/>
        <v>1200</v>
      </c>
      <c r="N62" s="177" t="s">
        <v>813</v>
      </c>
      <c r="O62" s="178"/>
      <c r="P62" s="8"/>
      <c r="Q62" s="8"/>
    </row>
    <row r="63" spans="2:19" s="1" customFormat="1" ht="78.75">
      <c r="B63" s="175" t="s">
        <v>834</v>
      </c>
      <c r="C63" s="174" t="s">
        <v>835</v>
      </c>
      <c r="D63" s="174" t="s">
        <v>836</v>
      </c>
      <c r="E63" s="174" t="s">
        <v>837</v>
      </c>
      <c r="F63" s="186">
        <v>85</v>
      </c>
      <c r="G63" s="176">
        <v>200</v>
      </c>
      <c r="H63" s="176">
        <v>200</v>
      </c>
      <c r="I63" s="171">
        <f t="shared" si="6"/>
        <v>0</v>
      </c>
      <c r="J63" s="171">
        <f t="shared" si="1"/>
        <v>0</v>
      </c>
      <c r="K63" s="171">
        <f t="shared" si="2"/>
        <v>0</v>
      </c>
      <c r="L63" s="171">
        <f t="shared" si="3"/>
        <v>0</v>
      </c>
      <c r="M63" s="172">
        <f t="shared" si="4"/>
        <v>17000</v>
      </c>
      <c r="N63" s="177" t="s">
        <v>745</v>
      </c>
      <c r="O63" s="178"/>
      <c r="P63" s="8"/>
      <c r="Q63" s="8"/>
    </row>
    <row r="64" spans="2:19" s="1" customFormat="1" ht="47.25">
      <c r="B64" s="175" t="s">
        <v>191</v>
      </c>
      <c r="C64" s="179" t="s">
        <v>192</v>
      </c>
      <c r="D64" s="175" t="s">
        <v>193</v>
      </c>
      <c r="E64" s="175" t="s">
        <v>118</v>
      </c>
      <c r="F64" s="186">
        <v>0.55000000000000004</v>
      </c>
      <c r="G64" s="176">
        <v>4100</v>
      </c>
      <c r="H64" s="176">
        <v>4100</v>
      </c>
      <c r="I64" s="171">
        <f t="shared" si="6"/>
        <v>0</v>
      </c>
      <c r="J64" s="171">
        <f t="shared" si="1"/>
        <v>0</v>
      </c>
      <c r="K64" s="171">
        <f t="shared" si="2"/>
        <v>0</v>
      </c>
      <c r="L64" s="171">
        <f t="shared" si="3"/>
        <v>0</v>
      </c>
      <c r="M64" s="172">
        <f t="shared" si="4"/>
        <v>2255</v>
      </c>
      <c r="N64" s="177" t="s">
        <v>813</v>
      </c>
      <c r="O64" s="178"/>
      <c r="P64" s="8"/>
      <c r="Q64" s="8"/>
      <c r="S64" s="19"/>
    </row>
    <row r="65" spans="2:17" s="1" customFormat="1" ht="47.25">
      <c r="B65" s="175" t="s">
        <v>198</v>
      </c>
      <c r="C65" s="179" t="s">
        <v>195</v>
      </c>
      <c r="D65" s="175" t="s">
        <v>199</v>
      </c>
      <c r="E65" s="175" t="s">
        <v>56</v>
      </c>
      <c r="F65" s="182">
        <v>25</v>
      </c>
      <c r="G65" s="176">
        <v>1200</v>
      </c>
      <c r="H65" s="176">
        <v>1200</v>
      </c>
      <c r="I65" s="171">
        <f t="shared" si="6"/>
        <v>0</v>
      </c>
      <c r="J65" s="171">
        <f t="shared" si="1"/>
        <v>0</v>
      </c>
      <c r="K65" s="171">
        <f t="shared" si="2"/>
        <v>0</v>
      </c>
      <c r="L65" s="171">
        <f t="shared" si="3"/>
        <v>0</v>
      </c>
      <c r="M65" s="172">
        <f t="shared" si="4"/>
        <v>30000</v>
      </c>
      <c r="N65" s="177" t="s">
        <v>768</v>
      </c>
      <c r="O65" s="178"/>
      <c r="P65" s="8"/>
      <c r="Q65" s="8"/>
    </row>
    <row r="66" spans="2:17" s="1" customFormat="1" ht="47.25">
      <c r="B66" s="175" t="s">
        <v>838</v>
      </c>
      <c r="C66" s="174" t="s">
        <v>839</v>
      </c>
      <c r="D66" s="174" t="s">
        <v>840</v>
      </c>
      <c r="E66" s="175" t="s">
        <v>620</v>
      </c>
      <c r="F66" s="182">
        <v>178</v>
      </c>
      <c r="G66" s="176">
        <v>5</v>
      </c>
      <c r="H66" s="176">
        <v>5</v>
      </c>
      <c r="I66" s="171">
        <f t="shared" si="6"/>
        <v>0</v>
      </c>
      <c r="J66" s="171">
        <f t="shared" si="1"/>
        <v>0</v>
      </c>
      <c r="K66" s="171">
        <f t="shared" si="2"/>
        <v>0</v>
      </c>
      <c r="L66" s="171">
        <f t="shared" si="3"/>
        <v>0</v>
      </c>
      <c r="M66" s="172">
        <f t="shared" si="4"/>
        <v>890</v>
      </c>
      <c r="N66" s="177" t="s">
        <v>738</v>
      </c>
      <c r="O66" s="178"/>
      <c r="P66" s="8"/>
      <c r="Q66" s="8"/>
    </row>
    <row r="67" spans="2:17" s="1" customFormat="1" ht="33" customHeight="1">
      <c r="B67" s="175" t="s">
        <v>841</v>
      </c>
      <c r="C67" s="174" t="s">
        <v>842</v>
      </c>
      <c r="D67" s="188" t="s">
        <v>843</v>
      </c>
      <c r="E67" s="188" t="s">
        <v>844</v>
      </c>
      <c r="F67" s="212">
        <v>258</v>
      </c>
      <c r="G67" s="178">
        <v>340</v>
      </c>
      <c r="H67" s="176">
        <v>340</v>
      </c>
      <c r="I67" s="171">
        <f t="shared" si="6"/>
        <v>0</v>
      </c>
      <c r="J67" s="171">
        <f t="shared" si="1"/>
        <v>0</v>
      </c>
      <c r="K67" s="171">
        <f t="shared" si="2"/>
        <v>0</v>
      </c>
      <c r="L67" s="171">
        <f t="shared" si="3"/>
        <v>0</v>
      </c>
      <c r="M67" s="172">
        <f t="shared" si="4"/>
        <v>87720</v>
      </c>
      <c r="N67" s="177" t="s">
        <v>526</v>
      </c>
      <c r="O67" s="178"/>
      <c r="P67" s="8"/>
      <c r="Q67" s="8"/>
    </row>
    <row r="68" spans="2:17" s="1" customFormat="1" ht="33" customHeight="1">
      <c r="B68" s="180" t="s">
        <v>845</v>
      </c>
      <c r="C68" s="174" t="s">
        <v>846</v>
      </c>
      <c r="D68" s="174" t="s">
        <v>847</v>
      </c>
      <c r="E68" s="188" t="s">
        <v>179</v>
      </c>
      <c r="F68" s="212">
        <v>2</v>
      </c>
      <c r="G68" s="178">
        <v>138</v>
      </c>
      <c r="H68" s="176">
        <v>138</v>
      </c>
      <c r="I68" s="171">
        <f t="shared" si="6"/>
        <v>0</v>
      </c>
      <c r="J68" s="171">
        <f t="shared" si="1"/>
        <v>0</v>
      </c>
      <c r="K68" s="171">
        <f t="shared" si="2"/>
        <v>0</v>
      </c>
      <c r="L68" s="171">
        <f t="shared" si="3"/>
        <v>0</v>
      </c>
      <c r="M68" s="172">
        <f t="shared" si="4"/>
        <v>276</v>
      </c>
      <c r="N68" s="177" t="s">
        <v>745</v>
      </c>
      <c r="O68" s="178"/>
      <c r="P68" s="8"/>
      <c r="Q68" s="8"/>
    </row>
    <row r="69" spans="2:17" s="1" customFormat="1" ht="15.75">
      <c r="B69" s="180" t="s">
        <v>201</v>
      </c>
      <c r="C69" s="181" t="s">
        <v>202</v>
      </c>
      <c r="D69" s="180" t="s">
        <v>717</v>
      </c>
      <c r="E69" s="181" t="s">
        <v>179</v>
      </c>
      <c r="F69" s="182">
        <v>0.95</v>
      </c>
      <c r="G69" s="176">
        <v>1000</v>
      </c>
      <c r="H69" s="176">
        <v>1000</v>
      </c>
      <c r="I69" s="171">
        <f t="shared" si="6"/>
        <v>0</v>
      </c>
      <c r="J69" s="171">
        <f t="shared" si="1"/>
        <v>0</v>
      </c>
      <c r="K69" s="171">
        <f t="shared" si="2"/>
        <v>0</v>
      </c>
      <c r="L69" s="171">
        <f t="shared" si="3"/>
        <v>0</v>
      </c>
      <c r="M69" s="172">
        <f t="shared" si="4"/>
        <v>950</v>
      </c>
      <c r="N69" s="177" t="s">
        <v>721</v>
      </c>
      <c r="O69" s="178"/>
      <c r="P69" s="8"/>
      <c r="Q69" s="8"/>
    </row>
    <row r="70" spans="2:17" s="1" customFormat="1" ht="15.75">
      <c r="B70" s="180" t="s">
        <v>848</v>
      </c>
      <c r="C70" s="174" t="s">
        <v>849</v>
      </c>
      <c r="D70" s="174" t="s">
        <v>850</v>
      </c>
      <c r="E70" s="181" t="s">
        <v>851</v>
      </c>
      <c r="F70" s="182">
        <v>2100</v>
      </c>
      <c r="G70" s="176">
        <v>15</v>
      </c>
      <c r="H70" s="176">
        <v>15</v>
      </c>
      <c r="I70" s="171">
        <f t="shared" si="6"/>
        <v>0</v>
      </c>
      <c r="J70" s="171">
        <f t="shared" si="1"/>
        <v>0</v>
      </c>
      <c r="K70" s="171">
        <f t="shared" si="2"/>
        <v>0</v>
      </c>
      <c r="L70" s="171">
        <f t="shared" si="3"/>
        <v>0</v>
      </c>
      <c r="M70" s="172">
        <f t="shared" si="4"/>
        <v>31500</v>
      </c>
      <c r="N70" s="177" t="s">
        <v>691</v>
      </c>
      <c r="O70" s="178"/>
      <c r="P70" s="8"/>
      <c r="Q70" s="8"/>
    </row>
    <row r="71" spans="2:17" s="1" customFormat="1" ht="31.5">
      <c r="B71" s="175" t="s">
        <v>204</v>
      </c>
      <c r="C71" s="175" t="s">
        <v>205</v>
      </c>
      <c r="D71" s="175" t="s">
        <v>206</v>
      </c>
      <c r="E71" s="179" t="s">
        <v>207</v>
      </c>
      <c r="F71" s="182">
        <v>120.77</v>
      </c>
      <c r="G71" s="176">
        <v>300</v>
      </c>
      <c r="H71" s="176">
        <v>300</v>
      </c>
      <c r="I71" s="171">
        <f t="shared" si="6"/>
        <v>0</v>
      </c>
      <c r="J71" s="171">
        <f t="shared" ref="J71:J134" si="7">F71*I71</f>
        <v>0</v>
      </c>
      <c r="K71" s="171">
        <f t="shared" ref="K71:K77" si="8">H71-G71</f>
        <v>0</v>
      </c>
      <c r="L71" s="171">
        <f t="shared" ref="L71:L77" si="9">F71*K71</f>
        <v>0</v>
      </c>
      <c r="M71" s="172">
        <f t="shared" ref="M71:M134" si="10">F71*H71</f>
        <v>36231</v>
      </c>
      <c r="N71" s="177" t="s">
        <v>526</v>
      </c>
      <c r="O71" s="178"/>
      <c r="P71" s="8"/>
      <c r="Q71" s="8"/>
    </row>
    <row r="72" spans="2:17" s="1" customFormat="1" ht="15.75">
      <c r="B72" s="175" t="s">
        <v>852</v>
      </c>
      <c r="C72" s="175" t="s">
        <v>205</v>
      </c>
      <c r="D72" s="174" t="s">
        <v>853</v>
      </c>
      <c r="E72" s="175" t="s">
        <v>185</v>
      </c>
      <c r="F72" s="182">
        <v>3.5</v>
      </c>
      <c r="G72" s="176">
        <v>5100</v>
      </c>
      <c r="H72" s="176">
        <v>5100</v>
      </c>
      <c r="I72" s="171">
        <f t="shared" si="6"/>
        <v>0</v>
      </c>
      <c r="J72" s="171">
        <f t="shared" si="7"/>
        <v>0</v>
      </c>
      <c r="K72" s="171">
        <f t="shared" si="8"/>
        <v>0</v>
      </c>
      <c r="L72" s="171">
        <f t="shared" si="9"/>
        <v>0</v>
      </c>
      <c r="M72" s="172">
        <f t="shared" si="10"/>
        <v>17850</v>
      </c>
      <c r="N72" s="177" t="s">
        <v>692</v>
      </c>
      <c r="O72" s="178"/>
      <c r="P72" s="8"/>
      <c r="Q72" s="8"/>
    </row>
    <row r="73" spans="2:17" s="1" customFormat="1" ht="63">
      <c r="B73" s="175" t="s">
        <v>854</v>
      </c>
      <c r="C73" s="175" t="s">
        <v>855</v>
      </c>
      <c r="D73" s="175" t="s">
        <v>856</v>
      </c>
      <c r="E73" s="174" t="s">
        <v>56</v>
      </c>
      <c r="F73" s="186">
        <v>6</v>
      </c>
      <c r="G73" s="176">
        <v>900</v>
      </c>
      <c r="H73" s="176">
        <v>900</v>
      </c>
      <c r="I73" s="171">
        <f t="shared" si="6"/>
        <v>0</v>
      </c>
      <c r="J73" s="171">
        <f t="shared" si="7"/>
        <v>0</v>
      </c>
      <c r="K73" s="171">
        <f t="shared" si="8"/>
        <v>0</v>
      </c>
      <c r="L73" s="171">
        <f t="shared" si="9"/>
        <v>0</v>
      </c>
      <c r="M73" s="172">
        <f t="shared" si="10"/>
        <v>5400</v>
      </c>
      <c r="N73" s="177" t="s">
        <v>775</v>
      </c>
      <c r="O73" s="178"/>
      <c r="P73" s="8"/>
      <c r="Q73" s="8"/>
    </row>
    <row r="74" spans="2:17" s="1" customFormat="1" ht="54" customHeight="1">
      <c r="B74" s="175" t="s">
        <v>212</v>
      </c>
      <c r="C74" s="179" t="s">
        <v>213</v>
      </c>
      <c r="D74" s="175" t="s">
        <v>214</v>
      </c>
      <c r="E74" s="175" t="s">
        <v>215</v>
      </c>
      <c r="F74" s="182">
        <v>150</v>
      </c>
      <c r="G74" s="176">
        <v>25</v>
      </c>
      <c r="H74" s="176">
        <v>25</v>
      </c>
      <c r="I74" s="171">
        <f t="shared" si="6"/>
        <v>0</v>
      </c>
      <c r="J74" s="171">
        <f t="shared" si="7"/>
        <v>0</v>
      </c>
      <c r="K74" s="171">
        <f t="shared" si="8"/>
        <v>0</v>
      </c>
      <c r="L74" s="171">
        <f t="shared" si="9"/>
        <v>0</v>
      </c>
      <c r="M74" s="172">
        <f t="shared" si="10"/>
        <v>3750</v>
      </c>
      <c r="N74" s="177" t="s">
        <v>752</v>
      </c>
      <c r="O74" s="178"/>
      <c r="P74" s="8"/>
      <c r="Q74" s="8"/>
    </row>
    <row r="75" spans="2:17" s="1" customFormat="1" ht="47.25">
      <c r="B75" s="175" t="s">
        <v>216</v>
      </c>
      <c r="C75" s="179" t="s">
        <v>217</v>
      </c>
      <c r="D75" s="175" t="s">
        <v>218</v>
      </c>
      <c r="E75" s="175" t="s">
        <v>118</v>
      </c>
      <c r="F75" s="182">
        <v>0.75</v>
      </c>
      <c r="G75" s="176">
        <v>4424</v>
      </c>
      <c r="H75" s="176">
        <v>4424</v>
      </c>
      <c r="I75" s="171">
        <f t="shared" si="6"/>
        <v>0</v>
      </c>
      <c r="J75" s="171">
        <f t="shared" si="7"/>
        <v>0</v>
      </c>
      <c r="K75" s="171">
        <f t="shared" si="8"/>
        <v>0</v>
      </c>
      <c r="L75" s="171">
        <f t="shared" si="9"/>
        <v>0</v>
      </c>
      <c r="M75" s="172">
        <f t="shared" si="10"/>
        <v>3318</v>
      </c>
      <c r="N75" s="177" t="s">
        <v>808</v>
      </c>
      <c r="O75" s="178"/>
      <c r="P75" s="8"/>
      <c r="Q75" s="8"/>
    </row>
    <row r="76" spans="2:17" s="1" customFormat="1" ht="15.75">
      <c r="B76" s="175" t="s">
        <v>857</v>
      </c>
      <c r="C76" s="179" t="s">
        <v>858</v>
      </c>
      <c r="D76" s="187" t="s">
        <v>221</v>
      </c>
      <c r="E76" s="187" t="s">
        <v>222</v>
      </c>
      <c r="F76" s="182">
        <v>10</v>
      </c>
      <c r="G76" s="176">
        <v>840</v>
      </c>
      <c r="H76" s="176">
        <v>840</v>
      </c>
      <c r="I76" s="171">
        <f t="shared" si="6"/>
        <v>0</v>
      </c>
      <c r="J76" s="171">
        <f t="shared" si="7"/>
        <v>0</v>
      </c>
      <c r="K76" s="171">
        <f t="shared" si="8"/>
        <v>0</v>
      </c>
      <c r="L76" s="171">
        <f t="shared" si="9"/>
        <v>0</v>
      </c>
      <c r="M76" s="172">
        <f t="shared" si="10"/>
        <v>8400</v>
      </c>
      <c r="N76" s="177" t="s">
        <v>779</v>
      </c>
      <c r="O76" s="178"/>
      <c r="P76" s="8"/>
      <c r="Q76" s="8"/>
    </row>
    <row r="77" spans="2:17" s="1" customFormat="1" ht="31.5">
      <c r="B77" s="175" t="s">
        <v>859</v>
      </c>
      <c r="C77" s="174" t="s">
        <v>860</v>
      </c>
      <c r="D77" s="174" t="s">
        <v>861</v>
      </c>
      <c r="E77" s="187" t="s">
        <v>862</v>
      </c>
      <c r="F77" s="182">
        <v>1.77</v>
      </c>
      <c r="G77" s="176">
        <v>2000</v>
      </c>
      <c r="H77" s="176">
        <v>2000</v>
      </c>
      <c r="I77" s="171">
        <f t="shared" si="6"/>
        <v>0</v>
      </c>
      <c r="J77" s="171">
        <f t="shared" si="7"/>
        <v>0</v>
      </c>
      <c r="K77" s="171">
        <f t="shared" si="8"/>
        <v>0</v>
      </c>
      <c r="L77" s="171">
        <f t="shared" si="9"/>
        <v>0</v>
      </c>
      <c r="M77" s="172">
        <f t="shared" si="10"/>
        <v>3540</v>
      </c>
      <c r="N77" s="177" t="s">
        <v>788</v>
      </c>
      <c r="O77" s="178"/>
      <c r="P77" s="8"/>
      <c r="Q77" s="8"/>
    </row>
    <row r="78" spans="2:17" s="1" customFormat="1" ht="51" customHeight="1">
      <c r="B78" s="175" t="s">
        <v>223</v>
      </c>
      <c r="C78" s="179" t="s">
        <v>224</v>
      </c>
      <c r="D78" s="175" t="s">
        <v>225</v>
      </c>
      <c r="E78" s="175" t="s">
        <v>118</v>
      </c>
      <c r="F78" s="182">
        <v>1.3</v>
      </c>
      <c r="G78" s="176">
        <v>4480</v>
      </c>
      <c r="H78" s="176">
        <v>4480</v>
      </c>
      <c r="I78" s="171">
        <f t="shared" ref="I78:I86" si="11">G78-H78</f>
        <v>0</v>
      </c>
      <c r="J78" s="171">
        <f t="shared" si="7"/>
        <v>0</v>
      </c>
      <c r="K78" s="171">
        <f t="shared" ref="K78:K86" si="12">H78-G78</f>
        <v>0</v>
      </c>
      <c r="L78" s="171">
        <f t="shared" ref="L78:L86" si="13">F78*K78</f>
        <v>0</v>
      </c>
      <c r="M78" s="172">
        <f t="shared" si="10"/>
        <v>5824</v>
      </c>
      <c r="N78" s="177" t="s">
        <v>863</v>
      </c>
      <c r="O78" s="178"/>
      <c r="P78" s="8"/>
      <c r="Q78" s="8"/>
    </row>
    <row r="79" spans="2:17" s="1" customFormat="1" ht="51" customHeight="1">
      <c r="B79" s="175" t="s">
        <v>864</v>
      </c>
      <c r="C79" s="174" t="s">
        <v>865</v>
      </c>
      <c r="D79" s="174" t="s">
        <v>866</v>
      </c>
      <c r="E79" s="175" t="s">
        <v>421</v>
      </c>
      <c r="F79" s="182">
        <v>5.5</v>
      </c>
      <c r="G79" s="176">
        <v>7700</v>
      </c>
      <c r="H79" s="176">
        <v>7700</v>
      </c>
      <c r="I79" s="171">
        <f t="shared" si="11"/>
        <v>0</v>
      </c>
      <c r="J79" s="171">
        <f t="shared" si="7"/>
        <v>0</v>
      </c>
      <c r="K79" s="171">
        <f t="shared" si="12"/>
        <v>0</v>
      </c>
      <c r="L79" s="171">
        <f t="shared" si="13"/>
        <v>0</v>
      </c>
      <c r="M79" s="172">
        <f t="shared" si="10"/>
        <v>42350</v>
      </c>
      <c r="N79" s="177" t="s">
        <v>867</v>
      </c>
      <c r="O79" s="178"/>
      <c r="P79" s="8"/>
      <c r="Q79" s="8"/>
    </row>
    <row r="80" spans="2:17" s="1" customFormat="1" ht="51" customHeight="1">
      <c r="B80" s="175" t="s">
        <v>868</v>
      </c>
      <c r="C80" s="179" t="s">
        <v>869</v>
      </c>
      <c r="D80" s="174" t="s">
        <v>870</v>
      </c>
      <c r="E80" s="175" t="s">
        <v>421</v>
      </c>
      <c r="F80" s="182">
        <v>0.8</v>
      </c>
      <c r="G80" s="176">
        <v>5700</v>
      </c>
      <c r="H80" s="176">
        <v>5700</v>
      </c>
      <c r="I80" s="171">
        <f t="shared" si="11"/>
        <v>0</v>
      </c>
      <c r="J80" s="171">
        <f t="shared" si="7"/>
        <v>0</v>
      </c>
      <c r="K80" s="171">
        <f t="shared" si="12"/>
        <v>0</v>
      </c>
      <c r="L80" s="171">
        <f t="shared" si="13"/>
        <v>0</v>
      </c>
      <c r="M80" s="172">
        <f t="shared" si="10"/>
        <v>4560</v>
      </c>
      <c r="N80" s="177" t="s">
        <v>867</v>
      </c>
      <c r="O80" s="178"/>
      <c r="P80" s="8"/>
      <c r="Q80" s="8"/>
    </row>
    <row r="81" spans="2:17" s="1" customFormat="1" ht="31.5">
      <c r="B81" s="175" t="s">
        <v>226</v>
      </c>
      <c r="C81" s="175" t="s">
        <v>719</v>
      </c>
      <c r="D81" s="175" t="s">
        <v>228</v>
      </c>
      <c r="E81" s="179" t="s">
        <v>152</v>
      </c>
      <c r="F81" s="182">
        <v>445</v>
      </c>
      <c r="G81" s="176">
        <v>900</v>
      </c>
      <c r="H81" s="176">
        <v>900</v>
      </c>
      <c r="I81" s="171">
        <f t="shared" si="11"/>
        <v>0</v>
      </c>
      <c r="J81" s="171">
        <f t="shared" si="7"/>
        <v>0</v>
      </c>
      <c r="K81" s="171">
        <f t="shared" si="12"/>
        <v>0</v>
      </c>
      <c r="L81" s="171">
        <f t="shared" si="13"/>
        <v>0</v>
      </c>
      <c r="M81" s="172">
        <f t="shared" si="10"/>
        <v>400500</v>
      </c>
      <c r="N81" s="177" t="s">
        <v>813</v>
      </c>
      <c r="O81" s="178"/>
      <c r="P81" s="8"/>
      <c r="Q81" s="8"/>
    </row>
    <row r="82" spans="2:17" s="1" customFormat="1" ht="47.25">
      <c r="B82" s="175" t="s">
        <v>229</v>
      </c>
      <c r="C82" s="179" t="s">
        <v>230</v>
      </c>
      <c r="D82" s="175" t="s">
        <v>133</v>
      </c>
      <c r="E82" s="175" t="s">
        <v>118</v>
      </c>
      <c r="F82" s="182">
        <v>1.24</v>
      </c>
      <c r="G82" s="176">
        <v>10000</v>
      </c>
      <c r="H82" s="176">
        <v>10000</v>
      </c>
      <c r="I82" s="171">
        <f t="shared" si="11"/>
        <v>0</v>
      </c>
      <c r="J82" s="171">
        <f t="shared" si="7"/>
        <v>0</v>
      </c>
      <c r="K82" s="171">
        <f t="shared" si="12"/>
        <v>0</v>
      </c>
      <c r="L82" s="171">
        <f t="shared" si="13"/>
        <v>0</v>
      </c>
      <c r="M82" s="172">
        <f t="shared" si="10"/>
        <v>12400</v>
      </c>
      <c r="N82" s="177" t="s">
        <v>691</v>
      </c>
      <c r="O82" s="178"/>
      <c r="P82" s="8"/>
      <c r="Q82" s="8"/>
    </row>
    <row r="83" spans="2:17" s="1" customFormat="1" ht="31.5">
      <c r="B83" s="175" t="s">
        <v>231</v>
      </c>
      <c r="C83" s="179" t="s">
        <v>230</v>
      </c>
      <c r="D83" s="175" t="s">
        <v>232</v>
      </c>
      <c r="E83" s="175" t="s">
        <v>233</v>
      </c>
      <c r="F83" s="182">
        <v>9</v>
      </c>
      <c r="G83" s="176">
        <v>5500</v>
      </c>
      <c r="H83" s="176">
        <v>5500</v>
      </c>
      <c r="I83" s="171">
        <f t="shared" si="11"/>
        <v>0</v>
      </c>
      <c r="J83" s="171">
        <f t="shared" si="7"/>
        <v>0</v>
      </c>
      <c r="K83" s="171">
        <f t="shared" si="12"/>
        <v>0</v>
      </c>
      <c r="L83" s="171">
        <f t="shared" si="13"/>
        <v>0</v>
      </c>
      <c r="M83" s="172">
        <f t="shared" si="10"/>
        <v>49500</v>
      </c>
      <c r="N83" s="177" t="s">
        <v>713</v>
      </c>
      <c r="O83" s="178"/>
      <c r="P83" s="8"/>
      <c r="Q83" s="8"/>
    </row>
    <row r="84" spans="2:17" s="1" customFormat="1" ht="47.25">
      <c r="B84" s="180" t="s">
        <v>235</v>
      </c>
      <c r="C84" s="180" t="s">
        <v>236</v>
      </c>
      <c r="D84" s="180" t="s">
        <v>237</v>
      </c>
      <c r="E84" s="180" t="s">
        <v>118</v>
      </c>
      <c r="F84" s="182">
        <v>3.5</v>
      </c>
      <c r="G84" s="176">
        <v>5000</v>
      </c>
      <c r="H84" s="176">
        <v>5000</v>
      </c>
      <c r="I84" s="171">
        <f t="shared" si="11"/>
        <v>0</v>
      </c>
      <c r="J84" s="171">
        <f t="shared" si="7"/>
        <v>0</v>
      </c>
      <c r="K84" s="171">
        <f t="shared" si="12"/>
        <v>0</v>
      </c>
      <c r="L84" s="171">
        <f t="shared" si="13"/>
        <v>0</v>
      </c>
      <c r="M84" s="172">
        <f t="shared" si="10"/>
        <v>17500</v>
      </c>
      <c r="N84" s="177" t="s">
        <v>713</v>
      </c>
      <c r="O84" s="178"/>
      <c r="P84" s="8"/>
      <c r="Q84" s="8"/>
    </row>
    <row r="85" spans="2:17" s="1" customFormat="1" ht="47.25">
      <c r="B85" s="180" t="s">
        <v>871</v>
      </c>
      <c r="C85" s="180" t="s">
        <v>239</v>
      </c>
      <c r="D85" s="180" t="s">
        <v>872</v>
      </c>
      <c r="E85" s="180" t="s">
        <v>690</v>
      </c>
      <c r="F85" s="182">
        <v>300</v>
      </c>
      <c r="G85" s="176">
        <v>2076</v>
      </c>
      <c r="H85" s="176">
        <v>2076</v>
      </c>
      <c r="I85" s="171">
        <f t="shared" si="11"/>
        <v>0</v>
      </c>
      <c r="J85" s="171">
        <f t="shared" si="7"/>
        <v>0</v>
      </c>
      <c r="K85" s="171">
        <f t="shared" si="12"/>
        <v>0</v>
      </c>
      <c r="L85" s="171">
        <f t="shared" si="13"/>
        <v>0</v>
      </c>
      <c r="M85" s="172">
        <f t="shared" si="10"/>
        <v>622800</v>
      </c>
      <c r="N85" s="177" t="s">
        <v>784</v>
      </c>
      <c r="O85" s="178"/>
      <c r="P85" s="8"/>
      <c r="Q85" s="8"/>
    </row>
    <row r="86" spans="2:17" s="1" customFormat="1" ht="45" customHeight="1">
      <c r="B86" s="180" t="s">
        <v>238</v>
      </c>
      <c r="C86" s="180" t="s">
        <v>239</v>
      </c>
      <c r="D86" s="180" t="s">
        <v>240</v>
      </c>
      <c r="E86" s="180" t="s">
        <v>241</v>
      </c>
      <c r="F86" s="182">
        <v>420</v>
      </c>
      <c r="G86" s="176">
        <v>890</v>
      </c>
      <c r="H86" s="176">
        <v>890</v>
      </c>
      <c r="I86" s="171">
        <f t="shared" si="11"/>
        <v>0</v>
      </c>
      <c r="J86" s="171">
        <f t="shared" si="7"/>
        <v>0</v>
      </c>
      <c r="K86" s="171">
        <f t="shared" si="12"/>
        <v>0</v>
      </c>
      <c r="L86" s="171">
        <f t="shared" si="13"/>
        <v>0</v>
      </c>
      <c r="M86" s="172">
        <f t="shared" si="10"/>
        <v>373800</v>
      </c>
      <c r="N86" s="177" t="s">
        <v>768</v>
      </c>
      <c r="O86" s="178"/>
      <c r="P86" s="8"/>
      <c r="Q86" s="8"/>
    </row>
    <row r="87" spans="2:17" s="1" customFormat="1" ht="39.950000000000003" customHeight="1">
      <c r="B87" s="175" t="s">
        <v>244</v>
      </c>
      <c r="C87" s="179" t="s">
        <v>245</v>
      </c>
      <c r="D87" s="175" t="s">
        <v>246</v>
      </c>
      <c r="E87" s="179" t="s">
        <v>247</v>
      </c>
      <c r="F87" s="182">
        <v>395</v>
      </c>
      <c r="G87" s="176">
        <v>970</v>
      </c>
      <c r="H87" s="176">
        <v>970</v>
      </c>
      <c r="I87" s="171">
        <f t="shared" ref="I87:I92" si="14">G87-H87</f>
        <v>0</v>
      </c>
      <c r="J87" s="171">
        <f t="shared" si="7"/>
        <v>0</v>
      </c>
      <c r="K87" s="171">
        <f t="shared" ref="K87:K92" si="15">H87-G87</f>
        <v>0</v>
      </c>
      <c r="L87" s="171">
        <f t="shared" ref="L87:L92" si="16">F87*K87</f>
        <v>0</v>
      </c>
      <c r="M87" s="172">
        <f t="shared" si="10"/>
        <v>383150</v>
      </c>
      <c r="N87" s="177" t="s">
        <v>766</v>
      </c>
      <c r="O87" s="178"/>
      <c r="P87" s="8"/>
      <c r="Q87" s="8"/>
    </row>
    <row r="88" spans="2:17" s="1" customFormat="1" ht="31.5">
      <c r="B88" s="175" t="s">
        <v>248</v>
      </c>
      <c r="C88" s="175" t="s">
        <v>249</v>
      </c>
      <c r="D88" s="175" t="s">
        <v>240</v>
      </c>
      <c r="E88" s="175" t="s">
        <v>250</v>
      </c>
      <c r="F88" s="182">
        <v>59</v>
      </c>
      <c r="G88" s="176">
        <v>1600</v>
      </c>
      <c r="H88" s="176">
        <v>1600</v>
      </c>
      <c r="I88" s="171">
        <f t="shared" si="14"/>
        <v>0</v>
      </c>
      <c r="J88" s="171">
        <f t="shared" si="7"/>
        <v>0</v>
      </c>
      <c r="K88" s="171">
        <f t="shared" si="15"/>
        <v>0</v>
      </c>
      <c r="L88" s="171">
        <f t="shared" si="16"/>
        <v>0</v>
      </c>
      <c r="M88" s="172">
        <f t="shared" si="10"/>
        <v>94400</v>
      </c>
      <c r="N88" s="177" t="s">
        <v>867</v>
      </c>
      <c r="O88" s="178"/>
      <c r="P88" s="8"/>
      <c r="Q88" s="8"/>
    </row>
    <row r="89" spans="2:17" s="1" customFormat="1" ht="47.25">
      <c r="B89" s="175" t="s">
        <v>873</v>
      </c>
      <c r="C89" s="174" t="s">
        <v>874</v>
      </c>
      <c r="D89" s="174" t="s">
        <v>875</v>
      </c>
      <c r="E89" s="175" t="s">
        <v>421</v>
      </c>
      <c r="F89" s="182">
        <v>3.1</v>
      </c>
      <c r="G89" s="176">
        <v>6440</v>
      </c>
      <c r="H89" s="176">
        <v>6440</v>
      </c>
      <c r="I89" s="171">
        <f t="shared" si="14"/>
        <v>0</v>
      </c>
      <c r="J89" s="171">
        <f t="shared" si="7"/>
        <v>0</v>
      </c>
      <c r="K89" s="171">
        <f t="shared" si="15"/>
        <v>0</v>
      </c>
      <c r="L89" s="171">
        <f t="shared" si="16"/>
        <v>0</v>
      </c>
      <c r="M89" s="172">
        <f t="shared" si="10"/>
        <v>19964</v>
      </c>
      <c r="N89" s="177" t="s">
        <v>692</v>
      </c>
      <c r="O89" s="178"/>
      <c r="P89" s="8"/>
      <c r="Q89" s="8"/>
    </row>
    <row r="90" spans="2:17" s="1" customFormat="1" ht="47.25">
      <c r="B90" s="175" t="s">
        <v>876</v>
      </c>
      <c r="C90" s="174" t="s">
        <v>874</v>
      </c>
      <c r="D90" s="174" t="s">
        <v>877</v>
      </c>
      <c r="E90" s="175" t="s">
        <v>421</v>
      </c>
      <c r="F90" s="182">
        <v>1.8</v>
      </c>
      <c r="G90" s="176">
        <v>6440</v>
      </c>
      <c r="H90" s="176">
        <v>6440</v>
      </c>
      <c r="I90" s="171">
        <f t="shared" si="14"/>
        <v>0</v>
      </c>
      <c r="J90" s="171">
        <f t="shared" si="7"/>
        <v>0</v>
      </c>
      <c r="K90" s="171">
        <f t="shared" si="15"/>
        <v>0</v>
      </c>
      <c r="L90" s="171">
        <f t="shared" si="16"/>
        <v>0</v>
      </c>
      <c r="M90" s="172">
        <f t="shared" si="10"/>
        <v>11592</v>
      </c>
      <c r="N90" s="177" t="s">
        <v>526</v>
      </c>
      <c r="O90" s="178"/>
      <c r="P90" s="8"/>
      <c r="Q90" s="8"/>
    </row>
    <row r="91" spans="2:17" s="1" customFormat="1" ht="45" customHeight="1">
      <c r="B91" s="175" t="s">
        <v>251</v>
      </c>
      <c r="C91" s="179" t="s">
        <v>252</v>
      </c>
      <c r="D91" s="175" t="s">
        <v>253</v>
      </c>
      <c r="E91" s="175" t="s">
        <v>84</v>
      </c>
      <c r="F91" s="182">
        <v>320</v>
      </c>
      <c r="G91" s="176">
        <v>150</v>
      </c>
      <c r="H91" s="176">
        <v>150</v>
      </c>
      <c r="I91" s="171">
        <f t="shared" si="14"/>
        <v>0</v>
      </c>
      <c r="J91" s="171">
        <f t="shared" si="7"/>
        <v>0</v>
      </c>
      <c r="K91" s="171">
        <f t="shared" si="15"/>
        <v>0</v>
      </c>
      <c r="L91" s="171">
        <f t="shared" si="16"/>
        <v>0</v>
      </c>
      <c r="M91" s="172">
        <f t="shared" si="10"/>
        <v>48000</v>
      </c>
      <c r="N91" s="177" t="s">
        <v>713</v>
      </c>
      <c r="O91" s="178"/>
      <c r="P91" s="8"/>
      <c r="Q91" s="8"/>
    </row>
    <row r="92" spans="2:17" s="1" customFormat="1" ht="31.5">
      <c r="B92" s="175" t="s">
        <v>254</v>
      </c>
      <c r="C92" s="179" t="s">
        <v>255</v>
      </c>
      <c r="D92" s="175" t="s">
        <v>256</v>
      </c>
      <c r="E92" s="175" t="s">
        <v>257</v>
      </c>
      <c r="F92" s="182">
        <v>446</v>
      </c>
      <c r="G92" s="176">
        <v>329</v>
      </c>
      <c r="H92" s="176">
        <v>329</v>
      </c>
      <c r="I92" s="171">
        <f t="shared" si="14"/>
        <v>0</v>
      </c>
      <c r="J92" s="171">
        <f t="shared" si="7"/>
        <v>0</v>
      </c>
      <c r="K92" s="171">
        <f t="shared" si="15"/>
        <v>0</v>
      </c>
      <c r="L92" s="171">
        <f t="shared" si="16"/>
        <v>0</v>
      </c>
      <c r="M92" s="172">
        <f t="shared" si="10"/>
        <v>146734</v>
      </c>
      <c r="N92" s="177" t="s">
        <v>867</v>
      </c>
      <c r="O92" s="178"/>
      <c r="P92" s="8"/>
      <c r="Q92" s="8"/>
    </row>
    <row r="93" spans="2:17" s="1" customFormat="1" ht="31.5">
      <c r="B93" s="175" t="s">
        <v>878</v>
      </c>
      <c r="C93" s="174" t="s">
        <v>879</v>
      </c>
      <c r="D93" s="175" t="s">
        <v>880</v>
      </c>
      <c r="E93" s="175" t="s">
        <v>56</v>
      </c>
      <c r="F93" s="182">
        <v>49</v>
      </c>
      <c r="G93" s="176">
        <v>480</v>
      </c>
      <c r="H93" s="176">
        <v>480</v>
      </c>
      <c r="I93" s="171">
        <f>G93-H93</f>
        <v>0</v>
      </c>
      <c r="J93" s="171">
        <f t="shared" si="7"/>
        <v>0</v>
      </c>
      <c r="K93" s="171">
        <f t="shared" ref="K93:K109" si="17">H93-G93</f>
        <v>0</v>
      </c>
      <c r="L93" s="171">
        <f t="shared" ref="L93:L100" si="18">F93*K93</f>
        <v>0</v>
      </c>
      <c r="M93" s="172">
        <f t="shared" si="10"/>
        <v>23520</v>
      </c>
      <c r="N93" s="177" t="s">
        <v>775</v>
      </c>
      <c r="O93" s="178"/>
      <c r="P93" s="8"/>
      <c r="Q93" s="8"/>
    </row>
    <row r="94" spans="2:17" s="1" customFormat="1" ht="31.5">
      <c r="B94" s="175" t="s">
        <v>881</v>
      </c>
      <c r="C94" s="174" t="s">
        <v>879</v>
      </c>
      <c r="D94" s="175" t="s">
        <v>880</v>
      </c>
      <c r="E94" s="175" t="s">
        <v>882</v>
      </c>
      <c r="F94" s="182">
        <v>60</v>
      </c>
      <c r="G94" s="176">
        <v>295</v>
      </c>
      <c r="H94" s="176">
        <v>295</v>
      </c>
      <c r="I94" s="171">
        <f>G94-H94</f>
        <v>0</v>
      </c>
      <c r="J94" s="171">
        <f t="shared" si="7"/>
        <v>0</v>
      </c>
      <c r="K94" s="171">
        <f t="shared" si="17"/>
        <v>0</v>
      </c>
      <c r="L94" s="171">
        <f t="shared" si="18"/>
        <v>0</v>
      </c>
      <c r="M94" s="172">
        <f t="shared" si="10"/>
        <v>17700</v>
      </c>
      <c r="N94" s="177" t="s">
        <v>341</v>
      </c>
      <c r="O94" s="178"/>
      <c r="P94" s="8"/>
      <c r="Q94" s="8"/>
    </row>
    <row r="95" spans="2:17" s="1" customFormat="1" ht="47.25">
      <c r="B95" s="175" t="s">
        <v>258</v>
      </c>
      <c r="C95" s="175" t="s">
        <v>259</v>
      </c>
      <c r="D95" s="175" t="s">
        <v>260</v>
      </c>
      <c r="E95" s="175" t="s">
        <v>118</v>
      </c>
      <c r="F95" s="182">
        <v>0.48</v>
      </c>
      <c r="G95" s="176">
        <v>13000</v>
      </c>
      <c r="H95" s="176">
        <v>13000</v>
      </c>
      <c r="I95" s="171">
        <f t="shared" ref="I95:I100" si="19">G95-H95</f>
        <v>0</v>
      </c>
      <c r="J95" s="171">
        <f t="shared" si="7"/>
        <v>0</v>
      </c>
      <c r="K95" s="171">
        <f t="shared" si="17"/>
        <v>0</v>
      </c>
      <c r="L95" s="171">
        <f t="shared" si="18"/>
        <v>0</v>
      </c>
      <c r="M95" s="172">
        <f t="shared" si="10"/>
        <v>6240</v>
      </c>
      <c r="N95" s="177" t="s">
        <v>713</v>
      </c>
      <c r="O95" s="178"/>
      <c r="P95" s="8"/>
      <c r="Q95" s="8"/>
    </row>
    <row r="96" spans="2:17" s="1" customFormat="1" ht="47.25">
      <c r="B96" s="175" t="s">
        <v>261</v>
      </c>
      <c r="C96" s="175" t="s">
        <v>262</v>
      </c>
      <c r="D96" s="175" t="s">
        <v>263</v>
      </c>
      <c r="E96" s="175" t="s">
        <v>118</v>
      </c>
      <c r="F96" s="182">
        <v>5.2</v>
      </c>
      <c r="G96" s="176">
        <v>5600</v>
      </c>
      <c r="H96" s="176">
        <v>5600</v>
      </c>
      <c r="I96" s="171">
        <f t="shared" si="19"/>
        <v>0</v>
      </c>
      <c r="J96" s="171">
        <f t="shared" si="7"/>
        <v>0</v>
      </c>
      <c r="K96" s="171">
        <f t="shared" si="17"/>
        <v>0</v>
      </c>
      <c r="L96" s="171">
        <f t="shared" si="18"/>
        <v>0</v>
      </c>
      <c r="M96" s="172">
        <f t="shared" si="10"/>
        <v>29120</v>
      </c>
      <c r="N96" s="177" t="s">
        <v>808</v>
      </c>
      <c r="O96" s="178"/>
      <c r="P96" s="8"/>
      <c r="Q96" s="8"/>
    </row>
    <row r="97" spans="2:17" s="1" customFormat="1" ht="36" customHeight="1">
      <c r="B97" s="175" t="s">
        <v>883</v>
      </c>
      <c r="C97" s="188" t="s">
        <v>884</v>
      </c>
      <c r="D97" s="188" t="s">
        <v>885</v>
      </c>
      <c r="E97" s="189" t="s">
        <v>421</v>
      </c>
      <c r="F97" s="182">
        <v>36.67</v>
      </c>
      <c r="G97" s="176">
        <v>7200</v>
      </c>
      <c r="H97" s="176">
        <v>7200</v>
      </c>
      <c r="I97" s="171">
        <f t="shared" si="19"/>
        <v>0</v>
      </c>
      <c r="J97" s="171">
        <f t="shared" si="7"/>
        <v>0</v>
      </c>
      <c r="K97" s="171">
        <f t="shared" si="17"/>
        <v>0</v>
      </c>
      <c r="L97" s="171">
        <f t="shared" si="18"/>
        <v>0</v>
      </c>
      <c r="M97" s="172">
        <f t="shared" si="10"/>
        <v>264024</v>
      </c>
      <c r="N97" s="177" t="s">
        <v>867</v>
      </c>
      <c r="O97" s="178"/>
      <c r="P97" s="8"/>
      <c r="Q97" s="8"/>
    </row>
    <row r="98" spans="2:17" s="1" customFormat="1" ht="47.25">
      <c r="B98" s="175" t="s">
        <v>886</v>
      </c>
      <c r="C98" s="174" t="s">
        <v>887</v>
      </c>
      <c r="D98" s="174" t="s">
        <v>888</v>
      </c>
      <c r="E98" s="175" t="s">
        <v>118</v>
      </c>
      <c r="F98" s="182">
        <v>4.2</v>
      </c>
      <c r="G98" s="176">
        <v>8176</v>
      </c>
      <c r="H98" s="176">
        <v>8176</v>
      </c>
      <c r="I98" s="171">
        <f t="shared" si="19"/>
        <v>0</v>
      </c>
      <c r="J98" s="171">
        <f t="shared" si="7"/>
        <v>0</v>
      </c>
      <c r="K98" s="171">
        <f t="shared" si="17"/>
        <v>0</v>
      </c>
      <c r="L98" s="171">
        <f t="shared" si="18"/>
        <v>0</v>
      </c>
      <c r="M98" s="172">
        <f t="shared" si="10"/>
        <v>34339.200000000004</v>
      </c>
      <c r="N98" s="177" t="s">
        <v>809</v>
      </c>
      <c r="O98" s="178"/>
      <c r="P98" s="8"/>
      <c r="Q98" s="8"/>
    </row>
    <row r="99" spans="2:17" s="1" customFormat="1" ht="30" customHeight="1">
      <c r="B99" s="180" t="s">
        <v>264</v>
      </c>
      <c r="C99" s="181" t="s">
        <v>265</v>
      </c>
      <c r="D99" s="180" t="s">
        <v>266</v>
      </c>
      <c r="E99" s="180" t="s">
        <v>61</v>
      </c>
      <c r="F99" s="182">
        <v>1850</v>
      </c>
      <c r="G99" s="176">
        <v>90</v>
      </c>
      <c r="H99" s="176">
        <v>90</v>
      </c>
      <c r="I99" s="171">
        <f t="shared" si="19"/>
        <v>0</v>
      </c>
      <c r="J99" s="171">
        <f t="shared" si="7"/>
        <v>0</v>
      </c>
      <c r="K99" s="171">
        <f t="shared" si="17"/>
        <v>0</v>
      </c>
      <c r="L99" s="171">
        <f t="shared" si="18"/>
        <v>0</v>
      </c>
      <c r="M99" s="172">
        <f t="shared" si="10"/>
        <v>166500</v>
      </c>
      <c r="N99" s="177" t="s">
        <v>813</v>
      </c>
      <c r="O99" s="178"/>
      <c r="P99" s="8"/>
      <c r="Q99" s="8"/>
    </row>
    <row r="100" spans="2:17" s="1" customFormat="1" ht="47.25">
      <c r="B100" s="180" t="s">
        <v>722</v>
      </c>
      <c r="C100" s="174" t="s">
        <v>889</v>
      </c>
      <c r="D100" s="174" t="s">
        <v>890</v>
      </c>
      <c r="E100" s="180" t="s">
        <v>421</v>
      </c>
      <c r="F100" s="182">
        <v>1.38</v>
      </c>
      <c r="G100" s="176">
        <v>6160</v>
      </c>
      <c r="H100" s="176">
        <v>6160</v>
      </c>
      <c r="I100" s="171">
        <f t="shared" si="19"/>
        <v>0</v>
      </c>
      <c r="J100" s="171">
        <f t="shared" si="7"/>
        <v>0</v>
      </c>
      <c r="K100" s="171">
        <f t="shared" si="17"/>
        <v>0</v>
      </c>
      <c r="L100" s="171">
        <f t="shared" si="18"/>
        <v>0</v>
      </c>
      <c r="M100" s="172">
        <f t="shared" si="10"/>
        <v>8500.7999999999993</v>
      </c>
      <c r="N100" s="177" t="s">
        <v>809</v>
      </c>
      <c r="O100" s="178"/>
      <c r="P100" s="8"/>
      <c r="Q100" s="8"/>
    </row>
    <row r="101" spans="2:17" s="1" customFormat="1" ht="36.950000000000003" customHeight="1">
      <c r="B101" s="180" t="s">
        <v>891</v>
      </c>
      <c r="C101" s="174" t="s">
        <v>892</v>
      </c>
      <c r="D101" s="174" t="s">
        <v>847</v>
      </c>
      <c r="E101" s="180" t="s">
        <v>421</v>
      </c>
      <c r="F101" s="182">
        <v>1.24</v>
      </c>
      <c r="G101" s="176">
        <v>4760</v>
      </c>
      <c r="H101" s="176">
        <v>4760</v>
      </c>
      <c r="I101" s="171">
        <f>G101-H101</f>
        <v>0</v>
      </c>
      <c r="J101" s="171">
        <f t="shared" si="7"/>
        <v>0</v>
      </c>
      <c r="K101" s="171">
        <f t="shared" si="17"/>
        <v>0</v>
      </c>
      <c r="L101" s="171"/>
      <c r="M101" s="172">
        <f t="shared" si="10"/>
        <v>5902.4</v>
      </c>
      <c r="N101" s="177" t="s">
        <v>819</v>
      </c>
      <c r="O101" s="178"/>
      <c r="P101" s="8"/>
      <c r="Q101" s="8"/>
    </row>
    <row r="102" spans="2:17" s="1" customFormat="1" ht="36.950000000000003" customHeight="1">
      <c r="B102" s="180" t="s">
        <v>893</v>
      </c>
      <c r="C102" s="174" t="s">
        <v>894</v>
      </c>
      <c r="D102" s="174" t="s">
        <v>146</v>
      </c>
      <c r="E102" s="180" t="s">
        <v>185</v>
      </c>
      <c r="F102" s="182">
        <v>5.7</v>
      </c>
      <c r="G102" s="176">
        <v>5250</v>
      </c>
      <c r="H102" s="176">
        <v>5250</v>
      </c>
      <c r="I102" s="171">
        <f>G102-H102</f>
        <v>0</v>
      </c>
      <c r="J102" s="171">
        <f t="shared" si="7"/>
        <v>0</v>
      </c>
      <c r="K102" s="171">
        <f t="shared" si="17"/>
        <v>0</v>
      </c>
      <c r="L102" s="171">
        <f>F102*K102</f>
        <v>0</v>
      </c>
      <c r="M102" s="172">
        <f t="shared" si="10"/>
        <v>29925</v>
      </c>
      <c r="N102" s="177" t="s">
        <v>691</v>
      </c>
      <c r="O102" s="178"/>
      <c r="P102" s="8"/>
      <c r="Q102" s="8"/>
    </row>
    <row r="103" spans="2:17" s="1" customFormat="1" ht="36.950000000000003" customHeight="1">
      <c r="B103" s="180" t="s">
        <v>725</v>
      </c>
      <c r="C103" s="174" t="s">
        <v>726</v>
      </c>
      <c r="D103" s="174" t="s">
        <v>727</v>
      </c>
      <c r="E103" s="180" t="s">
        <v>185</v>
      </c>
      <c r="F103" s="182">
        <v>1.61</v>
      </c>
      <c r="G103" s="176">
        <v>6900</v>
      </c>
      <c r="H103" s="176">
        <v>6900</v>
      </c>
      <c r="I103" s="171"/>
      <c r="J103" s="171">
        <f t="shared" si="7"/>
        <v>0</v>
      </c>
      <c r="K103" s="171">
        <f t="shared" si="17"/>
        <v>0</v>
      </c>
      <c r="L103" s="171"/>
      <c r="M103" s="172">
        <f t="shared" si="10"/>
        <v>11109</v>
      </c>
      <c r="N103" s="177" t="s">
        <v>757</v>
      </c>
      <c r="O103" s="178"/>
      <c r="P103" s="8"/>
      <c r="Q103" s="8"/>
    </row>
    <row r="104" spans="2:17" s="1" customFormat="1" ht="36.950000000000003" customHeight="1">
      <c r="B104" s="180" t="s">
        <v>895</v>
      </c>
      <c r="C104" s="174" t="s">
        <v>896</v>
      </c>
      <c r="D104" s="174" t="s">
        <v>807</v>
      </c>
      <c r="E104" s="180" t="s">
        <v>185</v>
      </c>
      <c r="F104" s="182">
        <v>29.3</v>
      </c>
      <c r="G104" s="176">
        <v>5100</v>
      </c>
      <c r="H104" s="176">
        <v>5100</v>
      </c>
      <c r="I104" s="171">
        <f>G104-H104</f>
        <v>0</v>
      </c>
      <c r="J104" s="171">
        <f t="shared" si="7"/>
        <v>0</v>
      </c>
      <c r="K104" s="171">
        <f t="shared" si="17"/>
        <v>0</v>
      </c>
      <c r="L104" s="171">
        <f>F104*K104</f>
        <v>0</v>
      </c>
      <c r="M104" s="172">
        <f t="shared" si="10"/>
        <v>149430</v>
      </c>
      <c r="N104" s="177" t="s">
        <v>767</v>
      </c>
      <c r="O104" s="178"/>
      <c r="P104" s="8"/>
      <c r="Q104" s="8"/>
    </row>
    <row r="105" spans="2:17" s="1" customFormat="1" ht="47.25">
      <c r="B105" s="180" t="s">
        <v>897</v>
      </c>
      <c r="C105" s="180" t="s">
        <v>270</v>
      </c>
      <c r="D105" s="188" t="s">
        <v>898</v>
      </c>
      <c r="E105" s="190" t="s">
        <v>421</v>
      </c>
      <c r="F105" s="186">
        <v>5.5</v>
      </c>
      <c r="G105" s="176">
        <v>1500</v>
      </c>
      <c r="H105" s="176">
        <v>1500</v>
      </c>
      <c r="I105" s="171">
        <f>G105-H105</f>
        <v>0</v>
      </c>
      <c r="J105" s="171">
        <f t="shared" si="7"/>
        <v>0</v>
      </c>
      <c r="K105" s="171">
        <f t="shared" si="17"/>
        <v>0</v>
      </c>
      <c r="L105" s="171">
        <f>F105*K105</f>
        <v>0</v>
      </c>
      <c r="M105" s="172">
        <f t="shared" si="10"/>
        <v>8250</v>
      </c>
      <c r="N105" s="177" t="s">
        <v>790</v>
      </c>
      <c r="O105" s="178"/>
      <c r="P105" s="8"/>
      <c r="Q105" s="8"/>
    </row>
    <row r="106" spans="2:17" s="1" customFormat="1" ht="15.75">
      <c r="B106" s="180" t="s">
        <v>899</v>
      </c>
      <c r="C106" s="180" t="s">
        <v>900</v>
      </c>
      <c r="D106" s="174" t="s">
        <v>730</v>
      </c>
      <c r="E106" s="180" t="s">
        <v>185</v>
      </c>
      <c r="F106" s="182">
        <v>6.99</v>
      </c>
      <c r="G106" s="176">
        <v>300</v>
      </c>
      <c r="H106" s="176">
        <v>300</v>
      </c>
      <c r="I106" s="171">
        <f t="shared" ref="I106:I119" si="20">G106-H106</f>
        <v>0</v>
      </c>
      <c r="J106" s="171">
        <f t="shared" si="7"/>
        <v>0</v>
      </c>
      <c r="K106" s="171">
        <f t="shared" si="17"/>
        <v>0</v>
      </c>
      <c r="L106" s="171">
        <f>F106*K106</f>
        <v>0</v>
      </c>
      <c r="M106" s="172">
        <f t="shared" si="10"/>
        <v>2097</v>
      </c>
      <c r="N106" s="177" t="s">
        <v>732</v>
      </c>
      <c r="O106" s="178"/>
      <c r="P106" s="8"/>
      <c r="Q106" s="8"/>
    </row>
    <row r="107" spans="2:17" s="1" customFormat="1" ht="47.25">
      <c r="B107" s="175" t="s">
        <v>272</v>
      </c>
      <c r="C107" s="175" t="s">
        <v>273</v>
      </c>
      <c r="D107" s="175" t="s">
        <v>274</v>
      </c>
      <c r="E107" s="175" t="s">
        <v>118</v>
      </c>
      <c r="F107" s="186">
        <v>33</v>
      </c>
      <c r="G107" s="176">
        <v>390</v>
      </c>
      <c r="H107" s="176">
        <v>390</v>
      </c>
      <c r="I107" s="171">
        <f t="shared" si="20"/>
        <v>0</v>
      </c>
      <c r="J107" s="171">
        <f t="shared" si="7"/>
        <v>0</v>
      </c>
      <c r="K107" s="171">
        <f t="shared" si="17"/>
        <v>0</v>
      </c>
      <c r="L107" s="171">
        <f>F107*K107</f>
        <v>0</v>
      </c>
      <c r="M107" s="172">
        <f t="shared" si="10"/>
        <v>12870</v>
      </c>
      <c r="N107" s="177" t="s">
        <v>692</v>
      </c>
      <c r="O107" s="178"/>
      <c r="P107" s="8"/>
      <c r="Q107" s="8"/>
    </row>
    <row r="108" spans="2:17" s="1" customFormat="1" ht="51.95" customHeight="1">
      <c r="B108" s="178" t="s">
        <v>857</v>
      </c>
      <c r="C108" s="174" t="s">
        <v>901</v>
      </c>
      <c r="D108" s="175" t="s">
        <v>902</v>
      </c>
      <c r="E108" s="175" t="s">
        <v>118</v>
      </c>
      <c r="F108" s="186">
        <v>99</v>
      </c>
      <c r="G108" s="176">
        <v>60</v>
      </c>
      <c r="H108" s="176">
        <v>60</v>
      </c>
      <c r="I108" s="171">
        <f t="shared" si="20"/>
        <v>0</v>
      </c>
      <c r="J108" s="171">
        <f t="shared" si="7"/>
        <v>0</v>
      </c>
      <c r="K108" s="171">
        <f t="shared" si="17"/>
        <v>0</v>
      </c>
      <c r="L108" s="171">
        <f>F108*K108</f>
        <v>0</v>
      </c>
      <c r="M108" s="172">
        <f t="shared" si="10"/>
        <v>5940</v>
      </c>
      <c r="N108" s="177" t="s">
        <v>790</v>
      </c>
      <c r="O108" s="178"/>
      <c r="P108" s="8"/>
      <c r="Q108" s="8"/>
    </row>
    <row r="109" spans="2:17" s="1" customFormat="1" ht="51.95" customHeight="1">
      <c r="B109" s="178" t="s">
        <v>903</v>
      </c>
      <c r="C109" s="174" t="s">
        <v>904</v>
      </c>
      <c r="D109" s="174" t="s">
        <v>905</v>
      </c>
      <c r="E109" s="175" t="s">
        <v>906</v>
      </c>
      <c r="F109" s="186">
        <v>50</v>
      </c>
      <c r="G109" s="176">
        <v>20</v>
      </c>
      <c r="H109" s="176">
        <v>20</v>
      </c>
      <c r="I109" s="171">
        <f t="shared" si="20"/>
        <v>0</v>
      </c>
      <c r="J109" s="171">
        <f t="shared" si="7"/>
        <v>0</v>
      </c>
      <c r="K109" s="171">
        <f t="shared" si="17"/>
        <v>0</v>
      </c>
      <c r="L109" s="171">
        <f t="shared" ref="L109:L115" si="21">F109*K109</f>
        <v>0</v>
      </c>
      <c r="M109" s="172">
        <f t="shared" si="10"/>
        <v>1000</v>
      </c>
      <c r="N109" s="177" t="s">
        <v>808</v>
      </c>
      <c r="O109" s="178"/>
      <c r="P109" s="8"/>
      <c r="Q109" s="8"/>
    </row>
    <row r="110" spans="2:17" s="1" customFormat="1" ht="94.5">
      <c r="B110" s="175" t="s">
        <v>275</v>
      </c>
      <c r="C110" s="175" t="s">
        <v>276</v>
      </c>
      <c r="D110" s="175" t="s">
        <v>277</v>
      </c>
      <c r="E110" s="179" t="s">
        <v>190</v>
      </c>
      <c r="F110" s="186">
        <v>95</v>
      </c>
      <c r="G110" s="176">
        <v>3360</v>
      </c>
      <c r="H110" s="176">
        <v>3360</v>
      </c>
      <c r="I110" s="171">
        <f t="shared" si="20"/>
        <v>0</v>
      </c>
      <c r="J110" s="171">
        <f t="shared" si="7"/>
        <v>0</v>
      </c>
      <c r="K110" s="171">
        <f t="shared" ref="K110:K118" si="22">H110-G110</f>
        <v>0</v>
      </c>
      <c r="L110" s="171">
        <f t="shared" si="21"/>
        <v>0</v>
      </c>
      <c r="M110" s="172">
        <f t="shared" si="10"/>
        <v>319200</v>
      </c>
      <c r="N110" s="177" t="s">
        <v>341</v>
      </c>
      <c r="O110" s="178"/>
      <c r="P110" s="8"/>
      <c r="Q110" s="8"/>
    </row>
    <row r="111" spans="2:17" s="1" customFormat="1" ht="94.5">
      <c r="B111" s="175" t="s">
        <v>278</v>
      </c>
      <c r="C111" s="175" t="s">
        <v>276</v>
      </c>
      <c r="D111" s="174" t="s">
        <v>907</v>
      </c>
      <c r="E111" s="179" t="s">
        <v>908</v>
      </c>
      <c r="F111" s="186">
        <v>90</v>
      </c>
      <c r="G111" s="176">
        <v>405</v>
      </c>
      <c r="H111" s="176">
        <v>405</v>
      </c>
      <c r="I111" s="171">
        <f t="shared" si="20"/>
        <v>0</v>
      </c>
      <c r="J111" s="171">
        <f t="shared" si="7"/>
        <v>0</v>
      </c>
      <c r="K111" s="171">
        <f t="shared" si="22"/>
        <v>0</v>
      </c>
      <c r="L111" s="171">
        <f t="shared" si="21"/>
        <v>0</v>
      </c>
      <c r="M111" s="172">
        <f t="shared" si="10"/>
        <v>36450</v>
      </c>
      <c r="N111" s="177" t="s">
        <v>813</v>
      </c>
      <c r="O111" s="178"/>
      <c r="P111" s="8"/>
      <c r="Q111" s="8"/>
    </row>
    <row r="112" spans="2:17" s="1" customFormat="1" ht="78.75">
      <c r="B112" s="180" t="s">
        <v>278</v>
      </c>
      <c r="C112" s="180" t="s">
        <v>276</v>
      </c>
      <c r="D112" s="180" t="s">
        <v>279</v>
      </c>
      <c r="E112" s="180" t="s">
        <v>118</v>
      </c>
      <c r="F112" s="186">
        <v>12</v>
      </c>
      <c r="G112" s="176">
        <v>3700</v>
      </c>
      <c r="H112" s="176">
        <v>3700</v>
      </c>
      <c r="I112" s="171">
        <f t="shared" si="20"/>
        <v>0</v>
      </c>
      <c r="J112" s="171">
        <f t="shared" si="7"/>
        <v>0</v>
      </c>
      <c r="K112" s="171">
        <f t="shared" si="22"/>
        <v>0</v>
      </c>
      <c r="L112" s="171">
        <f t="shared" si="21"/>
        <v>0</v>
      </c>
      <c r="M112" s="172">
        <f t="shared" si="10"/>
        <v>44400</v>
      </c>
      <c r="N112" s="177" t="s">
        <v>745</v>
      </c>
      <c r="O112" s="178"/>
      <c r="P112" s="8"/>
      <c r="Q112" s="8"/>
    </row>
    <row r="113" spans="2:20" s="1" customFormat="1" ht="78.75">
      <c r="B113" s="180" t="s">
        <v>280</v>
      </c>
      <c r="C113" s="180" t="s">
        <v>276</v>
      </c>
      <c r="D113" s="180" t="s">
        <v>281</v>
      </c>
      <c r="E113" s="181" t="s">
        <v>185</v>
      </c>
      <c r="F113" s="186">
        <v>11</v>
      </c>
      <c r="G113" s="176">
        <v>6800</v>
      </c>
      <c r="H113" s="176">
        <v>6800</v>
      </c>
      <c r="I113" s="171">
        <f t="shared" si="20"/>
        <v>0</v>
      </c>
      <c r="J113" s="171">
        <f t="shared" si="7"/>
        <v>0</v>
      </c>
      <c r="K113" s="171">
        <f t="shared" si="22"/>
        <v>0</v>
      </c>
      <c r="L113" s="171">
        <f t="shared" si="21"/>
        <v>0</v>
      </c>
      <c r="M113" s="172">
        <f t="shared" si="10"/>
        <v>74800</v>
      </c>
      <c r="N113" s="177" t="s">
        <v>773</v>
      </c>
      <c r="O113" s="178"/>
      <c r="P113" s="8"/>
      <c r="Q113" s="8"/>
    </row>
    <row r="114" spans="2:20" s="1" customFormat="1" ht="47.25">
      <c r="B114" s="175" t="s">
        <v>282</v>
      </c>
      <c r="C114" s="179" t="s">
        <v>283</v>
      </c>
      <c r="D114" s="175" t="s">
        <v>284</v>
      </c>
      <c r="E114" s="175" t="s">
        <v>84</v>
      </c>
      <c r="F114" s="186">
        <v>140</v>
      </c>
      <c r="G114" s="176">
        <v>80</v>
      </c>
      <c r="H114" s="176">
        <v>80</v>
      </c>
      <c r="I114" s="171">
        <f t="shared" si="20"/>
        <v>0</v>
      </c>
      <c r="J114" s="171">
        <f t="shared" si="7"/>
        <v>0</v>
      </c>
      <c r="K114" s="171">
        <f t="shared" si="22"/>
        <v>0</v>
      </c>
      <c r="L114" s="171">
        <f t="shared" si="21"/>
        <v>0</v>
      </c>
      <c r="M114" s="172">
        <f t="shared" si="10"/>
        <v>11200</v>
      </c>
      <c r="N114" s="177" t="s">
        <v>768</v>
      </c>
      <c r="O114" s="178"/>
      <c r="P114" s="8"/>
      <c r="Q114" s="8"/>
    </row>
    <row r="115" spans="2:20" s="1" customFormat="1" ht="63">
      <c r="B115" s="175" t="s">
        <v>285</v>
      </c>
      <c r="C115" s="175" t="s">
        <v>286</v>
      </c>
      <c r="D115" s="175" t="s">
        <v>287</v>
      </c>
      <c r="E115" s="175" t="s">
        <v>288</v>
      </c>
      <c r="F115" s="186">
        <v>23</v>
      </c>
      <c r="G115" s="176">
        <v>30</v>
      </c>
      <c r="H115" s="176">
        <v>30</v>
      </c>
      <c r="I115" s="171">
        <f t="shared" si="20"/>
        <v>0</v>
      </c>
      <c r="J115" s="171">
        <f t="shared" si="7"/>
        <v>0</v>
      </c>
      <c r="K115" s="171">
        <f t="shared" si="22"/>
        <v>0</v>
      </c>
      <c r="L115" s="171">
        <f t="shared" si="21"/>
        <v>0</v>
      </c>
      <c r="M115" s="172">
        <f t="shared" si="10"/>
        <v>690</v>
      </c>
      <c r="N115" s="177" t="s">
        <v>713</v>
      </c>
      <c r="O115" s="178"/>
      <c r="P115" s="8"/>
      <c r="Q115" s="8"/>
    </row>
    <row r="116" spans="2:20" s="1" customFormat="1" ht="31.5">
      <c r="B116" s="175" t="s">
        <v>290</v>
      </c>
      <c r="C116" s="175" t="s">
        <v>286</v>
      </c>
      <c r="D116" s="175" t="s">
        <v>291</v>
      </c>
      <c r="E116" s="175" t="s">
        <v>292</v>
      </c>
      <c r="F116" s="186">
        <v>89</v>
      </c>
      <c r="G116" s="176">
        <v>165</v>
      </c>
      <c r="H116" s="176">
        <v>165</v>
      </c>
      <c r="I116" s="171">
        <f t="shared" si="20"/>
        <v>0</v>
      </c>
      <c r="J116" s="171">
        <f t="shared" si="7"/>
        <v>0</v>
      </c>
      <c r="K116" s="171">
        <f t="shared" si="22"/>
        <v>0</v>
      </c>
      <c r="L116" s="171">
        <f t="shared" ref="L116:L122" si="23">F116*K116</f>
        <v>0</v>
      </c>
      <c r="M116" s="172">
        <f t="shared" si="10"/>
        <v>14685</v>
      </c>
      <c r="N116" s="177" t="s">
        <v>909</v>
      </c>
      <c r="O116" s="178"/>
      <c r="P116" s="8"/>
      <c r="Q116" s="8"/>
    </row>
    <row r="117" spans="2:20" s="1" customFormat="1" ht="63">
      <c r="B117" s="180" t="s">
        <v>294</v>
      </c>
      <c r="C117" s="180" t="s">
        <v>295</v>
      </c>
      <c r="D117" s="180" t="s">
        <v>296</v>
      </c>
      <c r="E117" s="181" t="s">
        <v>190</v>
      </c>
      <c r="F117" s="186">
        <v>32</v>
      </c>
      <c r="G117" s="176">
        <v>300</v>
      </c>
      <c r="H117" s="176">
        <v>300</v>
      </c>
      <c r="I117" s="171">
        <f t="shared" si="20"/>
        <v>0</v>
      </c>
      <c r="J117" s="171">
        <f t="shared" si="7"/>
        <v>0</v>
      </c>
      <c r="K117" s="171">
        <f t="shared" si="22"/>
        <v>0</v>
      </c>
      <c r="L117" s="171">
        <f t="shared" si="23"/>
        <v>0</v>
      </c>
      <c r="M117" s="172">
        <f t="shared" si="10"/>
        <v>9600</v>
      </c>
      <c r="N117" s="177" t="s">
        <v>773</v>
      </c>
      <c r="O117" s="178"/>
      <c r="P117" s="8"/>
      <c r="Q117" s="8"/>
    </row>
    <row r="118" spans="2:20" s="1" customFormat="1" ht="47.25">
      <c r="B118" s="175" t="s">
        <v>297</v>
      </c>
      <c r="C118" s="179" t="s">
        <v>298</v>
      </c>
      <c r="D118" s="175" t="s">
        <v>299</v>
      </c>
      <c r="E118" s="179" t="s">
        <v>190</v>
      </c>
      <c r="F118" s="186">
        <v>95.86</v>
      </c>
      <c r="G118" s="176">
        <v>40</v>
      </c>
      <c r="H118" s="176">
        <v>40</v>
      </c>
      <c r="I118" s="171">
        <f t="shared" si="20"/>
        <v>0</v>
      </c>
      <c r="J118" s="171">
        <f t="shared" si="7"/>
        <v>0</v>
      </c>
      <c r="K118" s="171">
        <f t="shared" si="22"/>
        <v>0</v>
      </c>
      <c r="L118" s="171">
        <f t="shared" si="23"/>
        <v>0</v>
      </c>
      <c r="M118" s="172">
        <f t="shared" si="10"/>
        <v>3834.4</v>
      </c>
      <c r="N118" s="177" t="s">
        <v>776</v>
      </c>
      <c r="O118" s="178"/>
      <c r="P118" s="8"/>
      <c r="Q118" s="8"/>
    </row>
    <row r="119" spans="2:20" s="1" customFormat="1" ht="47.25">
      <c r="B119" s="180" t="s">
        <v>300</v>
      </c>
      <c r="C119" s="181" t="s">
        <v>301</v>
      </c>
      <c r="D119" s="180" t="s">
        <v>302</v>
      </c>
      <c r="E119" s="181" t="s">
        <v>190</v>
      </c>
      <c r="F119" s="186">
        <v>34</v>
      </c>
      <c r="G119" s="176">
        <v>12520</v>
      </c>
      <c r="H119" s="176">
        <v>12520</v>
      </c>
      <c r="I119" s="171">
        <f t="shared" si="20"/>
        <v>0</v>
      </c>
      <c r="J119" s="171">
        <f t="shared" si="7"/>
        <v>0</v>
      </c>
      <c r="K119" s="171">
        <f>H119-G119</f>
        <v>0</v>
      </c>
      <c r="L119" s="171">
        <f t="shared" si="23"/>
        <v>0</v>
      </c>
      <c r="M119" s="172">
        <f t="shared" si="10"/>
        <v>425680</v>
      </c>
      <c r="N119" s="177" t="s">
        <v>813</v>
      </c>
      <c r="O119" s="178"/>
      <c r="P119" s="8"/>
      <c r="Q119" s="8"/>
    </row>
    <row r="120" spans="2:20" s="1" customFormat="1" ht="17.100000000000001" customHeight="1">
      <c r="B120" s="180" t="s">
        <v>734</v>
      </c>
      <c r="C120" s="174" t="s">
        <v>735</v>
      </c>
      <c r="D120" s="180" t="s">
        <v>910</v>
      </c>
      <c r="E120" s="181" t="s">
        <v>911</v>
      </c>
      <c r="F120" s="186">
        <v>6.3</v>
      </c>
      <c r="G120" s="176">
        <v>1200</v>
      </c>
      <c r="H120" s="176">
        <v>1200</v>
      </c>
      <c r="I120" s="171">
        <f t="shared" ref="I120:I151" si="24">G120-H120</f>
        <v>0</v>
      </c>
      <c r="J120" s="171">
        <f t="shared" si="7"/>
        <v>0</v>
      </c>
      <c r="K120" s="171">
        <f>H120-G120</f>
        <v>0</v>
      </c>
      <c r="L120" s="171">
        <f t="shared" si="23"/>
        <v>0</v>
      </c>
      <c r="M120" s="172">
        <f t="shared" si="10"/>
        <v>7560</v>
      </c>
      <c r="N120" s="177" t="s">
        <v>738</v>
      </c>
      <c r="O120" s="178"/>
      <c r="P120" s="8"/>
      <c r="Q120" s="8"/>
    </row>
    <row r="121" spans="2:20" s="1" customFormat="1" ht="15.75">
      <c r="B121" s="180" t="s">
        <v>912</v>
      </c>
      <c r="C121" s="174" t="s">
        <v>913</v>
      </c>
      <c r="D121" s="174" t="s">
        <v>914</v>
      </c>
      <c r="E121" s="181" t="s">
        <v>911</v>
      </c>
      <c r="F121" s="186">
        <v>3.68</v>
      </c>
      <c r="G121" s="176">
        <v>5500</v>
      </c>
      <c r="H121" s="176">
        <v>5500</v>
      </c>
      <c r="I121" s="171">
        <f t="shared" si="24"/>
        <v>0</v>
      </c>
      <c r="J121" s="171">
        <f t="shared" si="7"/>
        <v>0</v>
      </c>
      <c r="K121" s="171">
        <f>H121-G121</f>
        <v>0</v>
      </c>
      <c r="L121" s="171">
        <f t="shared" si="23"/>
        <v>0</v>
      </c>
      <c r="M121" s="172">
        <f t="shared" si="10"/>
        <v>20240</v>
      </c>
      <c r="N121" s="177" t="s">
        <v>863</v>
      </c>
      <c r="O121" s="178"/>
      <c r="P121" s="8"/>
      <c r="Q121" s="8"/>
    </row>
    <row r="122" spans="2:20" s="1" customFormat="1" ht="63">
      <c r="B122" s="180" t="s">
        <v>915</v>
      </c>
      <c r="C122" s="174" t="s">
        <v>916</v>
      </c>
      <c r="D122" s="174" t="s">
        <v>917</v>
      </c>
      <c r="E122" s="181" t="s">
        <v>918</v>
      </c>
      <c r="F122" s="186">
        <v>1708</v>
      </c>
      <c r="G122" s="176">
        <v>612</v>
      </c>
      <c r="H122" s="176">
        <v>612</v>
      </c>
      <c r="I122" s="171">
        <f t="shared" si="24"/>
        <v>0</v>
      </c>
      <c r="J122" s="171">
        <f t="shared" si="7"/>
        <v>0</v>
      </c>
      <c r="K122" s="171">
        <f>H122-G122</f>
        <v>0</v>
      </c>
      <c r="L122" s="171">
        <f t="shared" si="23"/>
        <v>0</v>
      </c>
      <c r="M122" s="172">
        <f t="shared" si="10"/>
        <v>1045296</v>
      </c>
      <c r="N122" s="177" t="s">
        <v>692</v>
      </c>
      <c r="O122" s="178"/>
      <c r="P122" s="8"/>
      <c r="Q122" s="8"/>
    </row>
    <row r="123" spans="2:20" s="1" customFormat="1" ht="47.25">
      <c r="B123" s="180" t="s">
        <v>919</v>
      </c>
      <c r="C123" s="174" t="s">
        <v>740</v>
      </c>
      <c r="D123" s="174" t="s">
        <v>920</v>
      </c>
      <c r="E123" s="174" t="s">
        <v>921</v>
      </c>
      <c r="F123" s="186">
        <v>3.92</v>
      </c>
      <c r="G123" s="176">
        <v>8000</v>
      </c>
      <c r="H123" s="176">
        <v>8000</v>
      </c>
      <c r="I123" s="171">
        <f t="shared" si="24"/>
        <v>0</v>
      </c>
      <c r="J123" s="171">
        <f t="shared" si="7"/>
        <v>0</v>
      </c>
      <c r="K123" s="171">
        <f t="shared" ref="K123:K127" si="25">H123-G123</f>
        <v>0</v>
      </c>
      <c r="L123" s="171">
        <f t="shared" ref="L123:L127" si="26">F123*K123</f>
        <v>0</v>
      </c>
      <c r="M123" s="172">
        <f t="shared" si="10"/>
        <v>31360</v>
      </c>
      <c r="N123" s="177" t="s">
        <v>773</v>
      </c>
      <c r="O123" s="178"/>
      <c r="P123" s="8"/>
      <c r="Q123" s="8"/>
    </row>
    <row r="124" spans="2:20" s="1" customFormat="1" ht="31.5">
      <c r="B124" s="180" t="s">
        <v>922</v>
      </c>
      <c r="C124" s="174" t="s">
        <v>740</v>
      </c>
      <c r="D124" s="174" t="s">
        <v>923</v>
      </c>
      <c r="E124" s="174" t="s">
        <v>84</v>
      </c>
      <c r="F124" s="186">
        <v>72</v>
      </c>
      <c r="G124" s="176">
        <v>450</v>
      </c>
      <c r="H124" s="176">
        <v>450</v>
      </c>
      <c r="I124" s="171">
        <f t="shared" si="24"/>
        <v>0</v>
      </c>
      <c r="J124" s="171">
        <f t="shared" si="7"/>
        <v>0</v>
      </c>
      <c r="K124" s="171">
        <f t="shared" si="25"/>
        <v>0</v>
      </c>
      <c r="L124" s="171">
        <f t="shared" si="26"/>
        <v>0</v>
      </c>
      <c r="M124" s="172">
        <f t="shared" si="10"/>
        <v>32400</v>
      </c>
      <c r="N124" s="177" t="s">
        <v>767</v>
      </c>
      <c r="O124" s="178"/>
      <c r="P124" s="8"/>
      <c r="Q124" s="8"/>
    </row>
    <row r="125" spans="2:20" s="1" customFormat="1" ht="31.5">
      <c r="B125" s="180" t="s">
        <v>739</v>
      </c>
      <c r="C125" s="174" t="s">
        <v>740</v>
      </c>
      <c r="D125" s="174" t="s">
        <v>924</v>
      </c>
      <c r="E125" s="181" t="s">
        <v>190</v>
      </c>
      <c r="F125" s="186">
        <v>60</v>
      </c>
      <c r="G125" s="176">
        <v>725</v>
      </c>
      <c r="H125" s="176">
        <v>725</v>
      </c>
      <c r="I125" s="171">
        <f t="shared" si="24"/>
        <v>0</v>
      </c>
      <c r="J125" s="171">
        <f t="shared" si="7"/>
        <v>0</v>
      </c>
      <c r="K125" s="171">
        <f t="shared" si="25"/>
        <v>0</v>
      </c>
      <c r="L125" s="171">
        <f t="shared" si="26"/>
        <v>0</v>
      </c>
      <c r="M125" s="172">
        <f t="shared" si="10"/>
        <v>43500</v>
      </c>
      <c r="N125" s="177" t="s">
        <v>766</v>
      </c>
      <c r="O125" s="178"/>
      <c r="P125" s="8"/>
      <c r="Q125" s="8"/>
    </row>
    <row r="126" spans="2:20" s="1" customFormat="1" ht="48" customHeight="1">
      <c r="B126" s="180" t="s">
        <v>303</v>
      </c>
      <c r="C126" s="181" t="s">
        <v>304</v>
      </c>
      <c r="D126" s="180" t="s">
        <v>305</v>
      </c>
      <c r="E126" s="180" t="s">
        <v>306</v>
      </c>
      <c r="F126" s="186">
        <v>8.5</v>
      </c>
      <c r="G126" s="176">
        <v>1600</v>
      </c>
      <c r="H126" s="176">
        <v>1600</v>
      </c>
      <c r="I126" s="171">
        <f t="shared" si="24"/>
        <v>0</v>
      </c>
      <c r="J126" s="171">
        <f t="shared" si="7"/>
        <v>0</v>
      </c>
      <c r="K126" s="171">
        <f t="shared" si="25"/>
        <v>0</v>
      </c>
      <c r="L126" s="171">
        <f t="shared" si="26"/>
        <v>0</v>
      </c>
      <c r="M126" s="172">
        <f t="shared" si="10"/>
        <v>13600</v>
      </c>
      <c r="N126" s="177" t="s">
        <v>713</v>
      </c>
      <c r="O126" s="178"/>
      <c r="P126" s="8"/>
      <c r="Q126" s="8"/>
    </row>
    <row r="127" spans="2:20" s="1" customFormat="1" ht="31.5">
      <c r="B127" s="180" t="s">
        <v>307</v>
      </c>
      <c r="C127" s="181" t="s">
        <v>308</v>
      </c>
      <c r="D127" s="180" t="s">
        <v>309</v>
      </c>
      <c r="E127" s="181" t="s">
        <v>190</v>
      </c>
      <c r="F127" s="182">
        <v>370.5</v>
      </c>
      <c r="G127" s="176">
        <v>410</v>
      </c>
      <c r="H127" s="176">
        <v>410</v>
      </c>
      <c r="I127" s="171">
        <f t="shared" si="24"/>
        <v>0</v>
      </c>
      <c r="J127" s="171">
        <f t="shared" si="7"/>
        <v>0</v>
      </c>
      <c r="K127" s="171">
        <f t="shared" si="25"/>
        <v>0</v>
      </c>
      <c r="L127" s="171">
        <f t="shared" si="26"/>
        <v>0</v>
      </c>
      <c r="M127" s="172">
        <f t="shared" si="10"/>
        <v>151905</v>
      </c>
      <c r="N127" s="177" t="s">
        <v>794</v>
      </c>
      <c r="O127" s="178"/>
      <c r="P127" s="8"/>
      <c r="Q127" s="8"/>
    </row>
    <row r="128" spans="2:20" s="1" customFormat="1" ht="63">
      <c r="B128" s="180" t="s">
        <v>313</v>
      </c>
      <c r="C128" s="180" t="s">
        <v>319</v>
      </c>
      <c r="D128" s="180" t="s">
        <v>315</v>
      </c>
      <c r="E128" s="180" t="s">
        <v>316</v>
      </c>
      <c r="F128" s="182">
        <v>40</v>
      </c>
      <c r="G128" s="176">
        <v>5300</v>
      </c>
      <c r="H128" s="176">
        <v>5300</v>
      </c>
      <c r="I128" s="171">
        <f t="shared" si="24"/>
        <v>0</v>
      </c>
      <c r="J128" s="171">
        <f t="shared" si="7"/>
        <v>0</v>
      </c>
      <c r="K128" s="171">
        <f t="shared" ref="K128:K171" si="27">H128-G128</f>
        <v>0</v>
      </c>
      <c r="L128" s="171">
        <f t="shared" ref="L128:L171" si="28">F128*K128</f>
        <v>0</v>
      </c>
      <c r="M128" s="172">
        <f t="shared" si="10"/>
        <v>212000</v>
      </c>
      <c r="N128" s="177" t="s">
        <v>738</v>
      </c>
      <c r="O128" s="178"/>
      <c r="P128" s="8"/>
      <c r="Q128" s="8"/>
      <c r="T128" s="1" t="s">
        <v>925</v>
      </c>
    </row>
    <row r="129" spans="2:17" s="1" customFormat="1" ht="47.25">
      <c r="B129" s="175" t="s">
        <v>926</v>
      </c>
      <c r="C129" s="180" t="s">
        <v>319</v>
      </c>
      <c r="D129" s="180" t="s">
        <v>927</v>
      </c>
      <c r="E129" s="180" t="s">
        <v>421</v>
      </c>
      <c r="F129" s="182">
        <v>1</v>
      </c>
      <c r="G129" s="176">
        <v>7000</v>
      </c>
      <c r="H129" s="176">
        <v>7000</v>
      </c>
      <c r="I129" s="171">
        <f t="shared" si="24"/>
        <v>0</v>
      </c>
      <c r="J129" s="171">
        <f t="shared" si="7"/>
        <v>0</v>
      </c>
      <c r="K129" s="171">
        <f t="shared" si="27"/>
        <v>0</v>
      </c>
      <c r="L129" s="171">
        <f t="shared" si="28"/>
        <v>0</v>
      </c>
      <c r="M129" s="172">
        <f t="shared" si="10"/>
        <v>7000</v>
      </c>
      <c r="N129" s="177" t="s">
        <v>808</v>
      </c>
      <c r="O129" s="178"/>
      <c r="P129" s="8"/>
      <c r="Q129" s="8"/>
    </row>
    <row r="130" spans="2:17" s="1" customFormat="1" ht="31.5">
      <c r="B130" s="175" t="s">
        <v>318</v>
      </c>
      <c r="C130" s="175" t="s">
        <v>319</v>
      </c>
      <c r="D130" s="175" t="s">
        <v>320</v>
      </c>
      <c r="E130" s="175" t="s">
        <v>84</v>
      </c>
      <c r="F130" s="182">
        <v>60</v>
      </c>
      <c r="G130" s="176">
        <v>70</v>
      </c>
      <c r="H130" s="176">
        <v>70</v>
      </c>
      <c r="I130" s="171">
        <f t="shared" si="24"/>
        <v>0</v>
      </c>
      <c r="J130" s="171">
        <f t="shared" si="7"/>
        <v>0</v>
      </c>
      <c r="K130" s="171">
        <f t="shared" si="27"/>
        <v>0</v>
      </c>
      <c r="L130" s="171">
        <f t="shared" si="28"/>
        <v>0</v>
      </c>
      <c r="M130" s="172">
        <f t="shared" si="10"/>
        <v>4200</v>
      </c>
      <c r="N130" s="177" t="s">
        <v>526</v>
      </c>
      <c r="O130" s="178"/>
      <c r="P130" s="8"/>
      <c r="Q130" s="8"/>
    </row>
    <row r="131" spans="2:17" s="1" customFormat="1" ht="47.25">
      <c r="B131" s="175" t="s">
        <v>322</v>
      </c>
      <c r="C131" s="175" t="s">
        <v>323</v>
      </c>
      <c r="D131" s="175" t="s">
        <v>76</v>
      </c>
      <c r="E131" s="175" t="s">
        <v>118</v>
      </c>
      <c r="F131" s="182">
        <v>1.26</v>
      </c>
      <c r="G131" s="176">
        <v>200</v>
      </c>
      <c r="H131" s="176">
        <v>200</v>
      </c>
      <c r="I131" s="171">
        <f t="shared" si="24"/>
        <v>0</v>
      </c>
      <c r="J131" s="171">
        <f t="shared" si="7"/>
        <v>0</v>
      </c>
      <c r="K131" s="171">
        <f t="shared" si="27"/>
        <v>0</v>
      </c>
      <c r="L131" s="171">
        <f t="shared" si="28"/>
        <v>0</v>
      </c>
      <c r="M131" s="172">
        <f t="shared" si="10"/>
        <v>252</v>
      </c>
      <c r="N131" s="177" t="s">
        <v>713</v>
      </c>
      <c r="O131" s="178"/>
      <c r="P131" s="8"/>
      <c r="Q131" s="8"/>
    </row>
    <row r="132" spans="2:17" s="1" customFormat="1" ht="30" customHeight="1">
      <c r="B132" s="175" t="s">
        <v>928</v>
      </c>
      <c r="C132" s="174" t="s">
        <v>929</v>
      </c>
      <c r="D132" s="174" t="s">
        <v>930</v>
      </c>
      <c r="E132" s="179" t="s">
        <v>190</v>
      </c>
      <c r="F132" s="186">
        <v>97</v>
      </c>
      <c r="G132" s="176">
        <v>1152</v>
      </c>
      <c r="H132" s="176">
        <v>1152</v>
      </c>
      <c r="I132" s="171">
        <f t="shared" si="24"/>
        <v>0</v>
      </c>
      <c r="J132" s="171">
        <f t="shared" si="7"/>
        <v>0</v>
      </c>
      <c r="K132" s="171">
        <f t="shared" si="27"/>
        <v>0</v>
      </c>
      <c r="L132" s="171">
        <f t="shared" si="28"/>
        <v>0</v>
      </c>
      <c r="M132" s="172">
        <f t="shared" si="10"/>
        <v>111744</v>
      </c>
      <c r="N132" s="177" t="s">
        <v>776</v>
      </c>
      <c r="O132" s="178"/>
      <c r="P132" s="8"/>
      <c r="Q132" s="8"/>
    </row>
    <row r="133" spans="2:17" s="1" customFormat="1" ht="30" customHeight="1">
      <c r="B133" s="175" t="s">
        <v>931</v>
      </c>
      <c r="C133" s="174" t="s">
        <v>743</v>
      </c>
      <c r="D133" s="174" t="s">
        <v>287</v>
      </c>
      <c r="E133" s="179" t="s">
        <v>932</v>
      </c>
      <c r="F133" s="186">
        <v>2.7</v>
      </c>
      <c r="G133" s="176">
        <v>1000</v>
      </c>
      <c r="H133" s="176">
        <v>1000</v>
      </c>
      <c r="I133" s="171">
        <f t="shared" si="24"/>
        <v>0</v>
      </c>
      <c r="J133" s="171">
        <f t="shared" si="7"/>
        <v>0</v>
      </c>
      <c r="K133" s="171">
        <f t="shared" si="27"/>
        <v>0</v>
      </c>
      <c r="L133" s="171">
        <f t="shared" si="28"/>
        <v>0</v>
      </c>
      <c r="M133" s="172">
        <f t="shared" si="10"/>
        <v>2700</v>
      </c>
      <c r="N133" s="177" t="s">
        <v>745</v>
      </c>
      <c r="O133" s="178"/>
      <c r="P133" s="8"/>
      <c r="Q133" s="8"/>
    </row>
    <row r="134" spans="2:17" s="1" customFormat="1" ht="30" customHeight="1">
      <c r="B134" s="175" t="s">
        <v>746</v>
      </c>
      <c r="C134" s="174" t="s">
        <v>747</v>
      </c>
      <c r="D134" s="174" t="s">
        <v>287</v>
      </c>
      <c r="E134" s="179" t="s">
        <v>932</v>
      </c>
      <c r="F134" s="186">
        <v>5</v>
      </c>
      <c r="G134" s="176">
        <v>1330</v>
      </c>
      <c r="H134" s="176">
        <v>1330</v>
      </c>
      <c r="I134" s="171">
        <f t="shared" si="24"/>
        <v>0</v>
      </c>
      <c r="J134" s="171">
        <f t="shared" si="7"/>
        <v>0</v>
      </c>
      <c r="K134" s="171">
        <f t="shared" si="27"/>
        <v>0</v>
      </c>
      <c r="L134" s="171">
        <f t="shared" si="28"/>
        <v>0</v>
      </c>
      <c r="M134" s="172">
        <f t="shared" si="10"/>
        <v>6650</v>
      </c>
      <c r="N134" s="177" t="s">
        <v>745</v>
      </c>
      <c r="O134" s="178"/>
      <c r="P134" s="8"/>
      <c r="Q134" s="8"/>
    </row>
    <row r="135" spans="2:17" s="1" customFormat="1" ht="31.5">
      <c r="B135" s="180" t="s">
        <v>334</v>
      </c>
      <c r="C135" s="181" t="s">
        <v>335</v>
      </c>
      <c r="D135" s="180" t="s">
        <v>311</v>
      </c>
      <c r="E135" s="180" t="s">
        <v>190</v>
      </c>
      <c r="F135" s="186">
        <v>135</v>
      </c>
      <c r="G135" s="176">
        <v>200</v>
      </c>
      <c r="H135" s="176">
        <v>200</v>
      </c>
      <c r="I135" s="171">
        <f t="shared" si="24"/>
        <v>0</v>
      </c>
      <c r="J135" s="171">
        <f t="shared" ref="J135:J198" si="29">F135*I135</f>
        <v>0</v>
      </c>
      <c r="K135" s="171">
        <f t="shared" si="27"/>
        <v>0</v>
      </c>
      <c r="L135" s="171">
        <f t="shared" si="28"/>
        <v>0</v>
      </c>
      <c r="M135" s="172">
        <f t="shared" ref="M135:M198" si="30">F135*H135</f>
        <v>27000</v>
      </c>
      <c r="N135" s="177" t="s">
        <v>790</v>
      </c>
      <c r="O135" s="178"/>
      <c r="P135" s="8"/>
      <c r="Q135" s="8"/>
    </row>
    <row r="136" spans="2:17" s="1" customFormat="1" ht="31.5">
      <c r="B136" s="175" t="s">
        <v>337</v>
      </c>
      <c r="C136" s="179" t="s">
        <v>335</v>
      </c>
      <c r="D136" s="175" t="s">
        <v>309</v>
      </c>
      <c r="E136" s="175" t="s">
        <v>190</v>
      </c>
      <c r="F136" s="186">
        <v>125</v>
      </c>
      <c r="G136" s="176">
        <v>800</v>
      </c>
      <c r="H136" s="176">
        <v>800</v>
      </c>
      <c r="I136" s="171">
        <f t="shared" si="24"/>
        <v>0</v>
      </c>
      <c r="J136" s="171">
        <f t="shared" si="29"/>
        <v>0</v>
      </c>
      <c r="K136" s="171">
        <f t="shared" si="27"/>
        <v>0</v>
      </c>
      <c r="L136" s="171">
        <f t="shared" si="28"/>
        <v>0</v>
      </c>
      <c r="M136" s="172">
        <f t="shared" si="30"/>
        <v>100000</v>
      </c>
      <c r="N136" s="177" t="s">
        <v>721</v>
      </c>
      <c r="O136" s="178"/>
      <c r="P136" s="8"/>
      <c r="Q136" s="8"/>
    </row>
    <row r="137" spans="2:17" s="1" customFormat="1" ht="31.5">
      <c r="B137" s="175" t="s">
        <v>933</v>
      </c>
      <c r="C137" s="179" t="s">
        <v>934</v>
      </c>
      <c r="D137" s="174" t="s">
        <v>935</v>
      </c>
      <c r="E137" s="175" t="s">
        <v>936</v>
      </c>
      <c r="F137" s="186">
        <v>5.6</v>
      </c>
      <c r="G137" s="176">
        <v>3700</v>
      </c>
      <c r="H137" s="176">
        <v>3700</v>
      </c>
      <c r="I137" s="171">
        <f t="shared" si="24"/>
        <v>0</v>
      </c>
      <c r="J137" s="171">
        <f t="shared" si="29"/>
        <v>0</v>
      </c>
      <c r="K137" s="171">
        <f t="shared" si="27"/>
        <v>0</v>
      </c>
      <c r="L137" s="171">
        <f t="shared" si="28"/>
        <v>0</v>
      </c>
      <c r="M137" s="172">
        <f t="shared" si="30"/>
        <v>20720</v>
      </c>
      <c r="N137" s="177" t="s">
        <v>863</v>
      </c>
      <c r="O137" s="178"/>
      <c r="P137" s="8"/>
      <c r="Q137" s="8"/>
    </row>
    <row r="138" spans="2:17" s="1" customFormat="1" ht="31.5">
      <c r="B138" s="175" t="s">
        <v>937</v>
      </c>
      <c r="C138" s="174" t="s">
        <v>938</v>
      </c>
      <c r="D138" s="174" t="s">
        <v>939</v>
      </c>
      <c r="E138" s="175" t="s">
        <v>940</v>
      </c>
      <c r="F138" s="186">
        <v>72</v>
      </c>
      <c r="G138" s="176">
        <v>75</v>
      </c>
      <c r="H138" s="176">
        <v>75</v>
      </c>
      <c r="I138" s="171">
        <f t="shared" si="24"/>
        <v>0</v>
      </c>
      <c r="J138" s="171">
        <f t="shared" si="29"/>
        <v>0</v>
      </c>
      <c r="K138" s="171">
        <f t="shared" si="27"/>
        <v>0</v>
      </c>
      <c r="L138" s="171">
        <f t="shared" si="28"/>
        <v>0</v>
      </c>
      <c r="M138" s="172">
        <f t="shared" si="30"/>
        <v>5400</v>
      </c>
      <c r="N138" s="177" t="s">
        <v>721</v>
      </c>
      <c r="O138" s="178"/>
      <c r="P138" s="8"/>
      <c r="Q138" s="8"/>
    </row>
    <row r="139" spans="2:17" s="1" customFormat="1" ht="45.95" customHeight="1">
      <c r="B139" s="180" t="s">
        <v>338</v>
      </c>
      <c r="C139" s="181" t="s">
        <v>339</v>
      </c>
      <c r="D139" s="180" t="s">
        <v>340</v>
      </c>
      <c r="E139" s="181" t="s">
        <v>190</v>
      </c>
      <c r="F139" s="186">
        <v>800</v>
      </c>
      <c r="G139" s="176">
        <v>450</v>
      </c>
      <c r="H139" s="176">
        <v>450</v>
      </c>
      <c r="I139" s="171">
        <f t="shared" si="24"/>
        <v>0</v>
      </c>
      <c r="J139" s="171">
        <f t="shared" si="29"/>
        <v>0</v>
      </c>
      <c r="K139" s="171">
        <f t="shared" si="27"/>
        <v>0</v>
      </c>
      <c r="L139" s="171">
        <f t="shared" si="28"/>
        <v>0</v>
      </c>
      <c r="M139" s="172">
        <f t="shared" si="30"/>
        <v>360000</v>
      </c>
      <c r="N139" s="177" t="s">
        <v>341</v>
      </c>
      <c r="O139" s="178"/>
      <c r="P139" s="8"/>
      <c r="Q139" s="8"/>
    </row>
    <row r="140" spans="2:17" s="1" customFormat="1" ht="15.75">
      <c r="B140" s="175"/>
      <c r="C140" s="179" t="s">
        <v>342</v>
      </c>
      <c r="D140" s="175" t="s">
        <v>343</v>
      </c>
      <c r="E140" s="175" t="s">
        <v>185</v>
      </c>
      <c r="F140" s="186">
        <v>68</v>
      </c>
      <c r="G140" s="176">
        <v>320</v>
      </c>
      <c r="H140" s="176">
        <v>320</v>
      </c>
      <c r="I140" s="171">
        <f t="shared" si="24"/>
        <v>0</v>
      </c>
      <c r="J140" s="171">
        <f t="shared" si="29"/>
        <v>0</v>
      </c>
      <c r="K140" s="171">
        <f t="shared" si="27"/>
        <v>0</v>
      </c>
      <c r="L140" s="171">
        <f t="shared" si="28"/>
        <v>0</v>
      </c>
      <c r="M140" s="172">
        <f t="shared" si="30"/>
        <v>21760</v>
      </c>
      <c r="N140" s="177" t="s">
        <v>757</v>
      </c>
      <c r="O140" s="178"/>
      <c r="P140" s="8"/>
      <c r="Q140" s="8"/>
    </row>
    <row r="141" spans="2:17" s="1" customFormat="1" ht="15.75">
      <c r="B141" s="175"/>
      <c r="C141" s="179" t="s">
        <v>344</v>
      </c>
      <c r="D141" s="175" t="s">
        <v>345</v>
      </c>
      <c r="E141" s="179" t="s">
        <v>185</v>
      </c>
      <c r="F141" s="186">
        <v>11</v>
      </c>
      <c r="G141" s="176">
        <v>900</v>
      </c>
      <c r="H141" s="176">
        <v>900</v>
      </c>
      <c r="I141" s="171">
        <f t="shared" si="24"/>
        <v>0</v>
      </c>
      <c r="J141" s="171">
        <f t="shared" si="29"/>
        <v>0</v>
      </c>
      <c r="K141" s="171">
        <f t="shared" si="27"/>
        <v>0</v>
      </c>
      <c r="L141" s="171">
        <f t="shared" si="28"/>
        <v>0</v>
      </c>
      <c r="M141" s="172">
        <f t="shared" si="30"/>
        <v>9900</v>
      </c>
      <c r="N141" s="177" t="s">
        <v>941</v>
      </c>
      <c r="O141" s="178"/>
      <c r="P141" s="8"/>
      <c r="Q141" s="8"/>
    </row>
    <row r="142" spans="2:17" s="1" customFormat="1" ht="15.75">
      <c r="B142" s="175" t="s">
        <v>942</v>
      </c>
      <c r="C142" s="174" t="s">
        <v>943</v>
      </c>
      <c r="D142" s="174" t="s">
        <v>944</v>
      </c>
      <c r="E142" s="179" t="s">
        <v>185</v>
      </c>
      <c r="F142" s="186">
        <v>5.4</v>
      </c>
      <c r="G142" s="176">
        <v>500</v>
      </c>
      <c r="H142" s="176">
        <v>500</v>
      </c>
      <c r="I142" s="171">
        <f t="shared" si="24"/>
        <v>0</v>
      </c>
      <c r="J142" s="171">
        <f t="shared" si="29"/>
        <v>0</v>
      </c>
      <c r="K142" s="171">
        <f t="shared" si="27"/>
        <v>0</v>
      </c>
      <c r="L142" s="171">
        <f t="shared" si="28"/>
        <v>0</v>
      </c>
      <c r="M142" s="172">
        <f t="shared" si="30"/>
        <v>2700</v>
      </c>
      <c r="N142" s="177" t="s">
        <v>867</v>
      </c>
      <c r="O142" s="178"/>
      <c r="P142" s="8"/>
      <c r="Q142" s="8"/>
    </row>
    <row r="143" spans="2:17" s="1" customFormat="1" ht="15.75">
      <c r="B143" s="175" t="s">
        <v>346</v>
      </c>
      <c r="C143" s="179" t="s">
        <v>347</v>
      </c>
      <c r="D143" s="175" t="s">
        <v>348</v>
      </c>
      <c r="E143" s="175" t="s">
        <v>179</v>
      </c>
      <c r="F143" s="182">
        <v>15.8</v>
      </c>
      <c r="G143" s="176">
        <v>180</v>
      </c>
      <c r="H143" s="176">
        <v>180</v>
      </c>
      <c r="I143" s="171">
        <f t="shared" si="24"/>
        <v>0</v>
      </c>
      <c r="J143" s="171">
        <f t="shared" si="29"/>
        <v>0</v>
      </c>
      <c r="K143" s="171">
        <f t="shared" si="27"/>
        <v>0</v>
      </c>
      <c r="L143" s="171">
        <f t="shared" si="28"/>
        <v>0</v>
      </c>
      <c r="M143" s="172">
        <f t="shared" si="30"/>
        <v>2844</v>
      </c>
      <c r="N143" s="177" t="s">
        <v>721</v>
      </c>
      <c r="O143" s="178"/>
      <c r="P143" s="8"/>
      <c r="Q143" s="8"/>
    </row>
    <row r="144" spans="2:17" s="1" customFormat="1" ht="15.75">
      <c r="B144" s="175" t="s">
        <v>349</v>
      </c>
      <c r="C144" s="179" t="s">
        <v>350</v>
      </c>
      <c r="D144" s="175" t="s">
        <v>351</v>
      </c>
      <c r="E144" s="175" t="s">
        <v>185</v>
      </c>
      <c r="F144" s="182">
        <v>9</v>
      </c>
      <c r="G144" s="176">
        <v>500</v>
      </c>
      <c r="H144" s="176">
        <v>500</v>
      </c>
      <c r="I144" s="171">
        <f t="shared" si="24"/>
        <v>0</v>
      </c>
      <c r="J144" s="171">
        <f t="shared" si="29"/>
        <v>0</v>
      </c>
      <c r="K144" s="171">
        <f t="shared" si="27"/>
        <v>0</v>
      </c>
      <c r="L144" s="171">
        <f t="shared" si="28"/>
        <v>0</v>
      </c>
      <c r="M144" s="172">
        <f t="shared" si="30"/>
        <v>4500</v>
      </c>
      <c r="N144" s="177" t="s">
        <v>813</v>
      </c>
      <c r="O144" s="178"/>
      <c r="P144" s="8"/>
      <c r="Q144" s="8"/>
    </row>
    <row r="145" spans="2:17" s="1" customFormat="1" ht="31.5">
      <c r="B145" s="175" t="s">
        <v>359</v>
      </c>
      <c r="C145" s="179" t="s">
        <v>360</v>
      </c>
      <c r="D145" s="175" t="s">
        <v>361</v>
      </c>
      <c r="E145" s="175" t="s">
        <v>362</v>
      </c>
      <c r="F145" s="182">
        <v>650</v>
      </c>
      <c r="G145" s="176">
        <v>60</v>
      </c>
      <c r="H145" s="176">
        <v>60</v>
      </c>
      <c r="I145" s="171">
        <f t="shared" si="24"/>
        <v>0</v>
      </c>
      <c r="J145" s="171">
        <f t="shared" si="29"/>
        <v>0</v>
      </c>
      <c r="K145" s="171">
        <f t="shared" si="27"/>
        <v>0</v>
      </c>
      <c r="L145" s="171">
        <f t="shared" si="28"/>
        <v>0</v>
      </c>
      <c r="M145" s="172">
        <f t="shared" si="30"/>
        <v>39000</v>
      </c>
      <c r="N145" s="177" t="s">
        <v>784</v>
      </c>
      <c r="O145" s="178"/>
      <c r="P145" s="8"/>
      <c r="Q145" s="8"/>
    </row>
    <row r="146" spans="2:17" s="1" customFormat="1" ht="31.5">
      <c r="B146" s="175" t="s">
        <v>945</v>
      </c>
      <c r="C146" s="174" t="s">
        <v>946</v>
      </c>
      <c r="D146" s="174" t="s">
        <v>947</v>
      </c>
      <c r="E146" s="175" t="s">
        <v>190</v>
      </c>
      <c r="F146" s="182">
        <v>250</v>
      </c>
      <c r="G146" s="176">
        <v>114</v>
      </c>
      <c r="H146" s="176">
        <v>114</v>
      </c>
      <c r="I146" s="171">
        <f t="shared" si="24"/>
        <v>0</v>
      </c>
      <c r="J146" s="171">
        <f t="shared" si="29"/>
        <v>0</v>
      </c>
      <c r="K146" s="171">
        <f t="shared" si="27"/>
        <v>0</v>
      </c>
      <c r="L146" s="171">
        <f t="shared" si="28"/>
        <v>0</v>
      </c>
      <c r="M146" s="172">
        <f t="shared" si="30"/>
        <v>28500</v>
      </c>
      <c r="N146" s="177" t="s">
        <v>766</v>
      </c>
      <c r="O146" s="178"/>
      <c r="P146" s="8"/>
      <c r="Q146" s="8"/>
    </row>
    <row r="147" spans="2:17" s="1" customFormat="1" ht="47.25">
      <c r="B147" s="175" t="s">
        <v>363</v>
      </c>
      <c r="C147" s="179" t="s">
        <v>364</v>
      </c>
      <c r="D147" s="175" t="s">
        <v>365</v>
      </c>
      <c r="E147" s="175" t="s">
        <v>366</v>
      </c>
      <c r="F147" s="182">
        <v>45</v>
      </c>
      <c r="G147" s="176">
        <v>975</v>
      </c>
      <c r="H147" s="176">
        <v>975</v>
      </c>
      <c r="I147" s="171">
        <f t="shared" si="24"/>
        <v>0</v>
      </c>
      <c r="J147" s="171">
        <f t="shared" si="29"/>
        <v>0</v>
      </c>
      <c r="K147" s="171">
        <f t="shared" si="27"/>
        <v>0</v>
      </c>
      <c r="L147" s="171">
        <f t="shared" si="28"/>
        <v>0</v>
      </c>
      <c r="M147" s="172">
        <f t="shared" si="30"/>
        <v>43875</v>
      </c>
      <c r="N147" s="177" t="s">
        <v>789</v>
      </c>
      <c r="O147" s="178"/>
      <c r="P147" s="8"/>
      <c r="Q147" s="8"/>
    </row>
    <row r="148" spans="2:17" s="1" customFormat="1" ht="15.75">
      <c r="B148" s="175" t="s">
        <v>367</v>
      </c>
      <c r="C148" s="175" t="s">
        <v>368</v>
      </c>
      <c r="D148" s="175" t="s">
        <v>369</v>
      </c>
      <c r="E148" s="179" t="s">
        <v>185</v>
      </c>
      <c r="F148" s="182">
        <v>10</v>
      </c>
      <c r="G148" s="176">
        <v>2100</v>
      </c>
      <c r="H148" s="176">
        <v>2100</v>
      </c>
      <c r="I148" s="171">
        <f t="shared" si="24"/>
        <v>0</v>
      </c>
      <c r="J148" s="171">
        <f t="shared" si="29"/>
        <v>0</v>
      </c>
      <c r="K148" s="171">
        <f t="shared" si="27"/>
        <v>0</v>
      </c>
      <c r="L148" s="171">
        <f t="shared" si="28"/>
        <v>0</v>
      </c>
      <c r="M148" s="172">
        <f t="shared" si="30"/>
        <v>21000</v>
      </c>
      <c r="N148" s="177" t="s">
        <v>721</v>
      </c>
      <c r="O148" s="178"/>
      <c r="P148" s="8"/>
      <c r="Q148" s="8"/>
    </row>
    <row r="149" spans="2:17" s="1" customFormat="1" ht="30" customHeight="1">
      <c r="B149" s="191" t="s">
        <v>948</v>
      </c>
      <c r="C149" s="174" t="s">
        <v>949</v>
      </c>
      <c r="D149" s="174" t="s">
        <v>950</v>
      </c>
      <c r="E149" s="174" t="s">
        <v>918</v>
      </c>
      <c r="F149" s="182">
        <v>17000</v>
      </c>
      <c r="G149" s="176">
        <v>36</v>
      </c>
      <c r="H149" s="176">
        <v>36</v>
      </c>
      <c r="I149" s="171">
        <f t="shared" si="24"/>
        <v>0</v>
      </c>
      <c r="J149" s="171">
        <f t="shared" si="29"/>
        <v>0</v>
      </c>
      <c r="K149" s="171">
        <f t="shared" si="27"/>
        <v>0</v>
      </c>
      <c r="L149" s="171">
        <f t="shared" si="28"/>
        <v>0</v>
      </c>
      <c r="M149" s="172">
        <f t="shared" si="30"/>
        <v>612000</v>
      </c>
      <c r="N149" s="177" t="s">
        <v>757</v>
      </c>
      <c r="O149" s="178"/>
      <c r="P149" s="8"/>
      <c r="Q149" s="8"/>
    </row>
    <row r="150" spans="2:17" s="1" customFormat="1" ht="29.1" customHeight="1">
      <c r="B150" s="175" t="s">
        <v>951</v>
      </c>
      <c r="C150" s="174" t="s">
        <v>952</v>
      </c>
      <c r="D150" s="174" t="s">
        <v>97</v>
      </c>
      <c r="E150" s="175" t="s">
        <v>190</v>
      </c>
      <c r="F150" s="182">
        <v>840</v>
      </c>
      <c r="G150" s="176">
        <v>45</v>
      </c>
      <c r="H150" s="176">
        <v>45</v>
      </c>
      <c r="I150" s="171">
        <f t="shared" si="24"/>
        <v>0</v>
      </c>
      <c r="J150" s="171">
        <f t="shared" si="29"/>
        <v>0</v>
      </c>
      <c r="K150" s="171">
        <f t="shared" si="27"/>
        <v>0</v>
      </c>
      <c r="L150" s="171">
        <f t="shared" si="28"/>
        <v>0</v>
      </c>
      <c r="M150" s="172">
        <f t="shared" si="30"/>
        <v>37800</v>
      </c>
      <c r="N150" s="177" t="s">
        <v>794</v>
      </c>
      <c r="O150" s="178"/>
      <c r="P150" s="8"/>
      <c r="Q150" s="8"/>
    </row>
    <row r="151" spans="2:17" ht="31.5">
      <c r="B151" s="175" t="s">
        <v>953</v>
      </c>
      <c r="C151" s="174" t="s">
        <v>952</v>
      </c>
      <c r="D151" s="174" t="s">
        <v>954</v>
      </c>
      <c r="E151" s="175" t="s">
        <v>190</v>
      </c>
      <c r="F151" s="182">
        <v>1800</v>
      </c>
      <c r="G151" s="176">
        <v>10</v>
      </c>
      <c r="H151" s="176">
        <v>10</v>
      </c>
      <c r="I151" s="171">
        <f t="shared" si="24"/>
        <v>0</v>
      </c>
      <c r="J151" s="171">
        <f t="shared" si="29"/>
        <v>0</v>
      </c>
      <c r="K151" s="171">
        <f t="shared" si="27"/>
        <v>0</v>
      </c>
      <c r="L151" s="171">
        <f t="shared" si="28"/>
        <v>0</v>
      </c>
      <c r="M151" s="172">
        <f t="shared" si="30"/>
        <v>18000</v>
      </c>
      <c r="N151" s="177" t="s">
        <v>789</v>
      </c>
      <c r="O151" s="178"/>
      <c r="P151" s="3"/>
      <c r="Q151" s="3"/>
    </row>
    <row r="152" spans="2:17" s="1" customFormat="1" ht="31.5">
      <c r="B152" s="175" t="s">
        <v>388</v>
      </c>
      <c r="C152" s="175" t="s">
        <v>389</v>
      </c>
      <c r="D152" s="175" t="s">
        <v>390</v>
      </c>
      <c r="E152" s="175" t="s">
        <v>247</v>
      </c>
      <c r="F152" s="182">
        <v>1500</v>
      </c>
      <c r="G152" s="176">
        <v>390</v>
      </c>
      <c r="H152" s="176">
        <v>390</v>
      </c>
      <c r="I152" s="171">
        <f t="shared" ref="I152:I171" si="31">G152-H152</f>
        <v>0</v>
      </c>
      <c r="J152" s="171">
        <f t="shared" si="29"/>
        <v>0</v>
      </c>
      <c r="K152" s="171">
        <f t="shared" si="27"/>
        <v>0</v>
      </c>
      <c r="L152" s="171">
        <f t="shared" si="28"/>
        <v>0</v>
      </c>
      <c r="M152" s="172">
        <f t="shared" si="30"/>
        <v>585000</v>
      </c>
      <c r="N152" s="177" t="s">
        <v>773</v>
      </c>
      <c r="O152" s="178"/>
      <c r="P152" s="8"/>
      <c r="Q152" s="8"/>
    </row>
    <row r="153" spans="2:17" s="1" customFormat="1" ht="31.5">
      <c r="B153" s="175" t="s">
        <v>397</v>
      </c>
      <c r="C153" s="179" t="s">
        <v>398</v>
      </c>
      <c r="D153" s="175" t="s">
        <v>399</v>
      </c>
      <c r="E153" s="175" t="s">
        <v>190</v>
      </c>
      <c r="F153" s="182">
        <v>1800</v>
      </c>
      <c r="G153" s="176">
        <v>18</v>
      </c>
      <c r="H153" s="176">
        <v>18</v>
      </c>
      <c r="I153" s="171">
        <f t="shared" si="31"/>
        <v>0</v>
      </c>
      <c r="J153" s="171">
        <f t="shared" si="29"/>
        <v>0</v>
      </c>
      <c r="K153" s="171">
        <f t="shared" si="27"/>
        <v>0</v>
      </c>
      <c r="L153" s="171">
        <f t="shared" si="28"/>
        <v>0</v>
      </c>
      <c r="M153" s="172">
        <f t="shared" si="30"/>
        <v>32400</v>
      </c>
      <c r="N153" s="177" t="s">
        <v>813</v>
      </c>
      <c r="O153" s="178"/>
      <c r="P153" s="8"/>
      <c r="Q153" s="8"/>
    </row>
    <row r="154" spans="2:17" s="1" customFormat="1" ht="47.25">
      <c r="B154" s="175" t="s">
        <v>955</v>
      </c>
      <c r="C154" s="179" t="s">
        <v>956</v>
      </c>
      <c r="D154" s="174" t="s">
        <v>957</v>
      </c>
      <c r="E154" s="175" t="s">
        <v>421</v>
      </c>
      <c r="F154" s="182">
        <v>39.5</v>
      </c>
      <c r="G154" s="176">
        <v>5850</v>
      </c>
      <c r="H154" s="176">
        <v>5850</v>
      </c>
      <c r="I154" s="171">
        <f t="shared" si="31"/>
        <v>0</v>
      </c>
      <c r="J154" s="171">
        <f t="shared" si="29"/>
        <v>0</v>
      </c>
      <c r="K154" s="171">
        <f t="shared" si="27"/>
        <v>0</v>
      </c>
      <c r="L154" s="171">
        <f t="shared" si="28"/>
        <v>0</v>
      </c>
      <c r="M154" s="172">
        <f t="shared" si="30"/>
        <v>231075</v>
      </c>
      <c r="N154" s="177" t="s">
        <v>757</v>
      </c>
      <c r="O154" s="178"/>
      <c r="P154" s="8"/>
      <c r="Q154" s="8"/>
    </row>
    <row r="155" spans="2:17" s="1" customFormat="1" ht="33.950000000000003" customHeight="1">
      <c r="B155" s="175" t="s">
        <v>958</v>
      </c>
      <c r="C155" s="174" t="s">
        <v>959</v>
      </c>
      <c r="D155" s="188" t="s">
        <v>960</v>
      </c>
      <c r="E155" s="175" t="s">
        <v>179</v>
      </c>
      <c r="F155" s="182">
        <v>23</v>
      </c>
      <c r="G155" s="176">
        <v>300</v>
      </c>
      <c r="H155" s="176">
        <v>300</v>
      </c>
      <c r="I155" s="171">
        <f t="shared" si="31"/>
        <v>0</v>
      </c>
      <c r="J155" s="171">
        <f t="shared" si="29"/>
        <v>0</v>
      </c>
      <c r="K155" s="171">
        <f t="shared" si="27"/>
        <v>0</v>
      </c>
      <c r="L155" s="171">
        <f t="shared" si="28"/>
        <v>0</v>
      </c>
      <c r="M155" s="172">
        <f t="shared" si="30"/>
        <v>6900</v>
      </c>
      <c r="N155" s="177" t="s">
        <v>692</v>
      </c>
      <c r="O155" s="178"/>
      <c r="P155" s="8"/>
      <c r="Q155" s="8"/>
    </row>
    <row r="156" spans="2:17" s="1" customFormat="1" ht="31.5">
      <c r="B156" s="175" t="s">
        <v>400</v>
      </c>
      <c r="C156" s="179" t="s">
        <v>401</v>
      </c>
      <c r="D156" s="175" t="s">
        <v>402</v>
      </c>
      <c r="E156" s="175" t="s">
        <v>56</v>
      </c>
      <c r="F156" s="182">
        <v>9</v>
      </c>
      <c r="G156" s="176">
        <v>3600</v>
      </c>
      <c r="H156" s="176">
        <v>3600</v>
      </c>
      <c r="I156" s="171">
        <f t="shared" si="31"/>
        <v>0</v>
      </c>
      <c r="J156" s="171">
        <f t="shared" si="29"/>
        <v>0</v>
      </c>
      <c r="K156" s="171">
        <f t="shared" si="27"/>
        <v>0</v>
      </c>
      <c r="L156" s="171">
        <f t="shared" si="28"/>
        <v>0</v>
      </c>
      <c r="M156" s="172">
        <f t="shared" si="30"/>
        <v>32400</v>
      </c>
      <c r="N156" s="177" t="s">
        <v>692</v>
      </c>
      <c r="O156" s="178"/>
      <c r="P156" s="8"/>
      <c r="Q156" s="8"/>
    </row>
    <row r="157" spans="2:17" s="1" customFormat="1" ht="31.5">
      <c r="B157" s="175" t="s">
        <v>407</v>
      </c>
      <c r="C157" s="175" t="s">
        <v>408</v>
      </c>
      <c r="D157" s="175" t="s">
        <v>409</v>
      </c>
      <c r="E157" s="175" t="s">
        <v>38</v>
      </c>
      <c r="F157" s="182">
        <v>550</v>
      </c>
      <c r="G157" s="176">
        <v>10</v>
      </c>
      <c r="H157" s="176">
        <v>10</v>
      </c>
      <c r="I157" s="171">
        <f t="shared" si="31"/>
        <v>0</v>
      </c>
      <c r="J157" s="171">
        <f t="shared" si="29"/>
        <v>0</v>
      </c>
      <c r="K157" s="171">
        <f t="shared" si="27"/>
        <v>0</v>
      </c>
      <c r="L157" s="171">
        <f t="shared" si="28"/>
        <v>0</v>
      </c>
      <c r="M157" s="172">
        <f t="shared" si="30"/>
        <v>5500</v>
      </c>
      <c r="N157" s="177" t="s">
        <v>773</v>
      </c>
      <c r="O157" s="178"/>
      <c r="P157" s="8"/>
      <c r="Q157" s="8"/>
    </row>
    <row r="158" spans="2:17" s="1" customFormat="1" ht="15.75">
      <c r="B158" s="180" t="s">
        <v>410</v>
      </c>
      <c r="C158" s="180" t="s">
        <v>411</v>
      </c>
      <c r="D158" s="180" t="s">
        <v>412</v>
      </c>
      <c r="E158" s="180" t="s">
        <v>185</v>
      </c>
      <c r="F158" s="182">
        <v>3</v>
      </c>
      <c r="G158" s="176">
        <v>22700</v>
      </c>
      <c r="H158" s="176">
        <v>22700</v>
      </c>
      <c r="I158" s="171">
        <f t="shared" si="31"/>
        <v>0</v>
      </c>
      <c r="J158" s="171">
        <f t="shared" si="29"/>
        <v>0</v>
      </c>
      <c r="K158" s="171">
        <f t="shared" si="27"/>
        <v>0</v>
      </c>
      <c r="L158" s="171">
        <f t="shared" si="28"/>
        <v>0</v>
      </c>
      <c r="M158" s="172">
        <f t="shared" si="30"/>
        <v>68100</v>
      </c>
      <c r="N158" s="177" t="s">
        <v>776</v>
      </c>
      <c r="O158" s="178"/>
      <c r="P158" s="8"/>
      <c r="Q158" s="8"/>
    </row>
    <row r="159" spans="2:17" s="1" customFormat="1" ht="31.5">
      <c r="B159" s="180" t="s">
        <v>961</v>
      </c>
      <c r="C159" s="174" t="s">
        <v>962</v>
      </c>
      <c r="D159" s="174" t="s">
        <v>963</v>
      </c>
      <c r="E159" s="180" t="s">
        <v>185</v>
      </c>
      <c r="F159" s="182">
        <v>5.42</v>
      </c>
      <c r="G159" s="176">
        <v>2700</v>
      </c>
      <c r="H159" s="176">
        <v>2700</v>
      </c>
      <c r="I159" s="171">
        <f t="shared" si="31"/>
        <v>0</v>
      </c>
      <c r="J159" s="171">
        <f t="shared" si="29"/>
        <v>0</v>
      </c>
      <c r="K159" s="171">
        <f t="shared" si="27"/>
        <v>0</v>
      </c>
      <c r="L159" s="171">
        <f t="shared" si="28"/>
        <v>0</v>
      </c>
      <c r="M159" s="172">
        <f t="shared" si="30"/>
        <v>14634</v>
      </c>
      <c r="N159" s="177" t="s">
        <v>745</v>
      </c>
      <c r="O159" s="178"/>
      <c r="P159" s="8"/>
      <c r="Q159" s="8"/>
    </row>
    <row r="160" spans="2:17" s="1" customFormat="1" ht="47.25">
      <c r="B160" s="180" t="s">
        <v>416</v>
      </c>
      <c r="C160" s="180" t="s">
        <v>417</v>
      </c>
      <c r="D160" s="180" t="s">
        <v>146</v>
      </c>
      <c r="E160" s="180" t="s">
        <v>118</v>
      </c>
      <c r="F160" s="182">
        <v>0.62</v>
      </c>
      <c r="G160" s="176">
        <v>4000</v>
      </c>
      <c r="H160" s="176">
        <v>4000</v>
      </c>
      <c r="I160" s="171">
        <f t="shared" si="31"/>
        <v>0</v>
      </c>
      <c r="J160" s="171">
        <f t="shared" si="29"/>
        <v>0</v>
      </c>
      <c r="K160" s="171">
        <f t="shared" si="27"/>
        <v>0</v>
      </c>
      <c r="L160" s="171">
        <f t="shared" si="28"/>
        <v>0</v>
      </c>
      <c r="M160" s="172">
        <f t="shared" si="30"/>
        <v>2480</v>
      </c>
      <c r="N160" s="177" t="s">
        <v>808</v>
      </c>
      <c r="O160" s="178"/>
      <c r="P160" s="8"/>
      <c r="Q160" s="8"/>
    </row>
    <row r="161" spans="2:17" s="1" customFormat="1" ht="47.25">
      <c r="B161" s="180" t="s">
        <v>418</v>
      </c>
      <c r="C161" s="181" t="s">
        <v>419</v>
      </c>
      <c r="D161" s="180" t="s">
        <v>420</v>
      </c>
      <c r="E161" s="180" t="s">
        <v>421</v>
      </c>
      <c r="F161" s="182">
        <v>0.85</v>
      </c>
      <c r="G161" s="176">
        <v>1600</v>
      </c>
      <c r="H161" s="176">
        <v>1600</v>
      </c>
      <c r="I161" s="171">
        <f t="shared" si="31"/>
        <v>0</v>
      </c>
      <c r="J161" s="171">
        <f t="shared" si="29"/>
        <v>0</v>
      </c>
      <c r="K161" s="171">
        <f t="shared" si="27"/>
        <v>0</v>
      </c>
      <c r="L161" s="171">
        <f t="shared" si="28"/>
        <v>0</v>
      </c>
      <c r="M161" s="172">
        <f t="shared" si="30"/>
        <v>1360</v>
      </c>
      <c r="N161" s="177" t="s">
        <v>713</v>
      </c>
      <c r="O161" s="178"/>
      <c r="P161" s="8"/>
      <c r="Q161" s="8"/>
    </row>
    <row r="162" spans="2:17" s="1" customFormat="1" ht="47.25">
      <c r="B162" s="180" t="s">
        <v>428</v>
      </c>
      <c r="C162" s="181" t="s">
        <v>429</v>
      </c>
      <c r="D162" s="180" t="s">
        <v>430</v>
      </c>
      <c r="E162" s="180" t="s">
        <v>118</v>
      </c>
      <c r="F162" s="182">
        <v>2.67</v>
      </c>
      <c r="G162" s="176">
        <v>8716</v>
      </c>
      <c r="H162" s="176">
        <v>8716</v>
      </c>
      <c r="I162" s="171">
        <f t="shared" si="31"/>
        <v>0</v>
      </c>
      <c r="J162" s="171">
        <f t="shared" si="29"/>
        <v>0</v>
      </c>
      <c r="K162" s="171">
        <f t="shared" si="27"/>
        <v>0</v>
      </c>
      <c r="L162" s="171">
        <f t="shared" si="28"/>
        <v>0</v>
      </c>
      <c r="M162" s="172">
        <f t="shared" si="30"/>
        <v>23271.72</v>
      </c>
      <c r="N162" s="177" t="s">
        <v>768</v>
      </c>
      <c r="O162" s="178"/>
      <c r="P162" s="8"/>
      <c r="Q162" s="8"/>
    </row>
    <row r="163" spans="2:17" s="1" customFormat="1" ht="47.25">
      <c r="B163" s="175" t="s">
        <v>434</v>
      </c>
      <c r="C163" s="179" t="s">
        <v>419</v>
      </c>
      <c r="D163" s="179" t="s">
        <v>435</v>
      </c>
      <c r="E163" s="175" t="s">
        <v>118</v>
      </c>
      <c r="F163" s="182">
        <v>10.029999999999999</v>
      </c>
      <c r="G163" s="176">
        <v>3600</v>
      </c>
      <c r="H163" s="176">
        <v>3600</v>
      </c>
      <c r="I163" s="171">
        <f t="shared" si="31"/>
        <v>0</v>
      </c>
      <c r="J163" s="171">
        <f t="shared" si="29"/>
        <v>0</v>
      </c>
      <c r="K163" s="171">
        <f t="shared" si="27"/>
        <v>0</v>
      </c>
      <c r="L163" s="171">
        <f t="shared" si="28"/>
        <v>0</v>
      </c>
      <c r="M163" s="172">
        <f t="shared" si="30"/>
        <v>36108</v>
      </c>
      <c r="N163" s="177" t="s">
        <v>773</v>
      </c>
      <c r="O163" s="178"/>
      <c r="P163" s="8"/>
      <c r="Q163" s="8"/>
    </row>
    <row r="164" spans="2:17" s="1" customFormat="1" ht="47.25">
      <c r="B164" s="175" t="s">
        <v>436</v>
      </c>
      <c r="C164" s="175" t="s">
        <v>437</v>
      </c>
      <c r="D164" s="175" t="s">
        <v>438</v>
      </c>
      <c r="E164" s="175" t="s">
        <v>118</v>
      </c>
      <c r="F164" s="182">
        <v>17.829999999999998</v>
      </c>
      <c r="G164" s="176">
        <v>10500</v>
      </c>
      <c r="H164" s="176">
        <v>10500</v>
      </c>
      <c r="I164" s="171">
        <f t="shared" si="31"/>
        <v>0</v>
      </c>
      <c r="J164" s="171">
        <f t="shared" si="29"/>
        <v>0</v>
      </c>
      <c r="K164" s="171">
        <f t="shared" si="27"/>
        <v>0</v>
      </c>
      <c r="L164" s="171">
        <f t="shared" si="28"/>
        <v>0</v>
      </c>
      <c r="M164" s="172">
        <f t="shared" si="30"/>
        <v>187214.99999999997</v>
      </c>
      <c r="N164" s="177" t="s">
        <v>526</v>
      </c>
      <c r="O164" s="178"/>
      <c r="P164" s="8"/>
      <c r="Q164" s="8"/>
    </row>
    <row r="165" spans="2:17" s="1" customFormat="1" ht="47.25">
      <c r="B165" s="175" t="s">
        <v>439</v>
      </c>
      <c r="C165" s="175" t="s">
        <v>440</v>
      </c>
      <c r="D165" s="175" t="s">
        <v>964</v>
      </c>
      <c r="E165" s="175" t="s">
        <v>118</v>
      </c>
      <c r="F165" s="182">
        <v>12.57</v>
      </c>
      <c r="G165" s="176">
        <v>1575</v>
      </c>
      <c r="H165" s="176">
        <v>1575</v>
      </c>
      <c r="I165" s="171">
        <f t="shared" si="31"/>
        <v>0</v>
      </c>
      <c r="J165" s="171">
        <f t="shared" si="29"/>
        <v>0</v>
      </c>
      <c r="K165" s="171">
        <f t="shared" si="27"/>
        <v>0</v>
      </c>
      <c r="L165" s="171">
        <f t="shared" si="28"/>
        <v>0</v>
      </c>
      <c r="M165" s="172">
        <f t="shared" si="30"/>
        <v>19797.75</v>
      </c>
      <c r="N165" s="177" t="s">
        <v>773</v>
      </c>
      <c r="O165" s="178"/>
      <c r="P165" s="8"/>
      <c r="Q165" s="8"/>
    </row>
    <row r="166" spans="2:17" s="1" customFormat="1" ht="47.25">
      <c r="B166" s="175" t="s">
        <v>439</v>
      </c>
      <c r="C166" s="175" t="s">
        <v>440</v>
      </c>
      <c r="D166" s="175" t="s">
        <v>76</v>
      </c>
      <c r="E166" s="175" t="s">
        <v>118</v>
      </c>
      <c r="F166" s="182">
        <v>12.57</v>
      </c>
      <c r="G166" s="176">
        <v>2275</v>
      </c>
      <c r="H166" s="176">
        <v>2275</v>
      </c>
      <c r="I166" s="171">
        <f t="shared" si="31"/>
        <v>0</v>
      </c>
      <c r="J166" s="171">
        <f t="shared" si="29"/>
        <v>0</v>
      </c>
      <c r="K166" s="171">
        <f t="shared" si="27"/>
        <v>0</v>
      </c>
      <c r="L166" s="171">
        <f t="shared" si="28"/>
        <v>0</v>
      </c>
      <c r="M166" s="172">
        <f t="shared" si="30"/>
        <v>28596.75</v>
      </c>
      <c r="N166" s="177" t="s">
        <v>773</v>
      </c>
      <c r="O166" s="178"/>
      <c r="P166" s="8"/>
      <c r="Q166" s="8"/>
    </row>
    <row r="167" spans="2:17" s="1" customFormat="1" ht="47.25">
      <c r="B167" s="175" t="s">
        <v>444</v>
      </c>
      <c r="C167" s="175" t="s">
        <v>442</v>
      </c>
      <c r="D167" s="175" t="s">
        <v>445</v>
      </c>
      <c r="E167" s="175" t="s">
        <v>118</v>
      </c>
      <c r="F167" s="182">
        <v>12.57</v>
      </c>
      <c r="G167" s="176">
        <v>6150</v>
      </c>
      <c r="H167" s="176">
        <v>6150</v>
      </c>
      <c r="I167" s="171">
        <f t="shared" si="31"/>
        <v>0</v>
      </c>
      <c r="J167" s="171">
        <f t="shared" si="29"/>
        <v>0</v>
      </c>
      <c r="K167" s="171">
        <f t="shared" si="27"/>
        <v>0</v>
      </c>
      <c r="L167" s="171">
        <f t="shared" si="28"/>
        <v>0</v>
      </c>
      <c r="M167" s="172">
        <f t="shared" si="30"/>
        <v>77305.5</v>
      </c>
      <c r="N167" s="177" t="s">
        <v>691</v>
      </c>
      <c r="O167" s="178"/>
      <c r="P167" s="178"/>
      <c r="Q167" s="178"/>
    </row>
    <row r="168" spans="2:17" s="1" customFormat="1" ht="31.5">
      <c r="B168" s="175" t="s">
        <v>449</v>
      </c>
      <c r="C168" s="175" t="s">
        <v>450</v>
      </c>
      <c r="D168" s="175" t="s">
        <v>451</v>
      </c>
      <c r="E168" s="175" t="s">
        <v>452</v>
      </c>
      <c r="F168" s="182">
        <v>45.1</v>
      </c>
      <c r="G168" s="176">
        <v>48</v>
      </c>
      <c r="H168" s="176">
        <v>48</v>
      </c>
      <c r="I168" s="171">
        <f t="shared" si="31"/>
        <v>0</v>
      </c>
      <c r="J168" s="171">
        <f t="shared" si="29"/>
        <v>0</v>
      </c>
      <c r="K168" s="171">
        <f t="shared" si="27"/>
        <v>0</v>
      </c>
      <c r="L168" s="171">
        <f t="shared" si="28"/>
        <v>0</v>
      </c>
      <c r="M168" s="172">
        <f t="shared" si="30"/>
        <v>2164.8000000000002</v>
      </c>
      <c r="N168" s="177" t="s">
        <v>721</v>
      </c>
      <c r="O168" s="178"/>
      <c r="P168" s="178"/>
      <c r="Q168" s="178"/>
    </row>
    <row r="169" spans="2:17" s="1" customFormat="1" ht="31.5">
      <c r="B169" s="175" t="s">
        <v>453</v>
      </c>
      <c r="C169" s="175" t="s">
        <v>423</v>
      </c>
      <c r="D169" s="175" t="s">
        <v>455</v>
      </c>
      <c r="E169" s="175" t="s">
        <v>456</v>
      </c>
      <c r="F169" s="182">
        <v>50</v>
      </c>
      <c r="G169" s="176">
        <v>60</v>
      </c>
      <c r="H169" s="176">
        <v>60</v>
      </c>
      <c r="I169" s="171">
        <f t="shared" si="31"/>
        <v>0</v>
      </c>
      <c r="J169" s="171">
        <f t="shared" si="29"/>
        <v>0</v>
      </c>
      <c r="K169" s="171">
        <f t="shared" si="27"/>
        <v>0</v>
      </c>
      <c r="L169" s="171">
        <f t="shared" si="28"/>
        <v>0</v>
      </c>
      <c r="M169" s="172">
        <f t="shared" si="30"/>
        <v>3000</v>
      </c>
      <c r="N169" s="177" t="s">
        <v>965</v>
      </c>
      <c r="O169" s="178"/>
      <c r="P169" s="178"/>
      <c r="Q169" s="178"/>
    </row>
    <row r="170" spans="2:17" s="1" customFormat="1" ht="15.75">
      <c r="B170" s="175" t="s">
        <v>966</v>
      </c>
      <c r="C170" s="174" t="s">
        <v>967</v>
      </c>
      <c r="D170" s="174" t="s">
        <v>968</v>
      </c>
      <c r="E170" s="175" t="s">
        <v>969</v>
      </c>
      <c r="F170" s="182">
        <v>518</v>
      </c>
      <c r="G170" s="176">
        <v>192</v>
      </c>
      <c r="H170" s="176">
        <v>192</v>
      </c>
      <c r="I170" s="171">
        <f t="shared" si="31"/>
        <v>0</v>
      </c>
      <c r="J170" s="171">
        <f t="shared" si="29"/>
        <v>0</v>
      </c>
      <c r="K170" s="171">
        <f t="shared" si="27"/>
        <v>0</v>
      </c>
      <c r="L170" s="171">
        <f t="shared" si="28"/>
        <v>0</v>
      </c>
      <c r="M170" s="172">
        <f t="shared" si="30"/>
        <v>99456</v>
      </c>
      <c r="N170" s="177" t="s">
        <v>784</v>
      </c>
      <c r="O170" s="178"/>
      <c r="P170" s="178"/>
      <c r="Q170" s="178"/>
    </row>
    <row r="171" spans="2:17" s="1" customFormat="1" ht="47.25">
      <c r="B171" s="175" t="s">
        <v>970</v>
      </c>
      <c r="C171" s="174" t="s">
        <v>971</v>
      </c>
      <c r="D171" s="174" t="s">
        <v>972</v>
      </c>
      <c r="E171" s="175" t="s">
        <v>354</v>
      </c>
      <c r="F171" s="182">
        <v>77</v>
      </c>
      <c r="G171" s="176">
        <v>170</v>
      </c>
      <c r="H171" s="176">
        <v>170</v>
      </c>
      <c r="I171" s="171">
        <f t="shared" si="31"/>
        <v>0</v>
      </c>
      <c r="J171" s="171">
        <f t="shared" si="29"/>
        <v>0</v>
      </c>
      <c r="K171" s="171">
        <f t="shared" si="27"/>
        <v>0</v>
      </c>
      <c r="L171" s="171">
        <f t="shared" si="28"/>
        <v>0</v>
      </c>
      <c r="M171" s="172">
        <f t="shared" si="30"/>
        <v>13090</v>
      </c>
      <c r="N171" s="177" t="s">
        <v>713</v>
      </c>
      <c r="O171" s="178"/>
      <c r="P171" s="178"/>
      <c r="Q171" s="178"/>
    </row>
    <row r="172" spans="2:17" s="1" customFormat="1" ht="31.5">
      <c r="B172" s="175" t="s">
        <v>973</v>
      </c>
      <c r="C172" s="174" t="s">
        <v>974</v>
      </c>
      <c r="D172" s="174" t="s">
        <v>975</v>
      </c>
      <c r="E172" s="174" t="s">
        <v>976</v>
      </c>
      <c r="F172" s="182">
        <v>22</v>
      </c>
      <c r="G172" s="176">
        <v>80</v>
      </c>
      <c r="H172" s="176">
        <v>80</v>
      </c>
      <c r="I172" s="171">
        <f t="shared" ref="I172:I178" si="32">G172-H172</f>
        <v>0</v>
      </c>
      <c r="J172" s="171">
        <f t="shared" si="29"/>
        <v>0</v>
      </c>
      <c r="K172" s="171">
        <f t="shared" ref="K172:K178" si="33">H172-G172</f>
        <v>0</v>
      </c>
      <c r="L172" s="171">
        <f t="shared" ref="L172:L178" si="34">F172*K172</f>
        <v>0</v>
      </c>
      <c r="M172" s="172">
        <f t="shared" si="30"/>
        <v>1760</v>
      </c>
      <c r="N172" s="177" t="s">
        <v>745</v>
      </c>
      <c r="O172" s="178"/>
      <c r="P172" s="178"/>
      <c r="Q172" s="178"/>
    </row>
    <row r="173" spans="2:17" s="1" customFormat="1" ht="31.5">
      <c r="B173" s="175" t="s">
        <v>749</v>
      </c>
      <c r="C173" s="174" t="s">
        <v>417</v>
      </c>
      <c r="D173" s="174" t="s">
        <v>750</v>
      </c>
      <c r="E173" s="175" t="s">
        <v>463</v>
      </c>
      <c r="F173" s="182">
        <v>390</v>
      </c>
      <c r="G173" s="176">
        <v>60</v>
      </c>
      <c r="H173" s="176">
        <v>60</v>
      </c>
      <c r="I173" s="171">
        <f t="shared" si="32"/>
        <v>0</v>
      </c>
      <c r="J173" s="171">
        <f t="shared" si="29"/>
        <v>0</v>
      </c>
      <c r="K173" s="171">
        <f t="shared" si="33"/>
        <v>0</v>
      </c>
      <c r="L173" s="171">
        <f t="shared" si="34"/>
        <v>0</v>
      </c>
      <c r="M173" s="172">
        <f t="shared" si="30"/>
        <v>23400</v>
      </c>
      <c r="N173" s="177" t="s">
        <v>721</v>
      </c>
      <c r="O173" s="178"/>
      <c r="P173" s="178"/>
      <c r="Q173" s="178"/>
    </row>
    <row r="174" spans="2:17" s="1" customFormat="1" ht="54" customHeight="1">
      <c r="B174" s="175" t="s">
        <v>464</v>
      </c>
      <c r="C174" s="175" t="s">
        <v>465</v>
      </c>
      <c r="D174" s="175" t="s">
        <v>466</v>
      </c>
      <c r="E174" s="175" t="s">
        <v>467</v>
      </c>
      <c r="F174" s="182">
        <v>160</v>
      </c>
      <c r="G174" s="176">
        <v>60</v>
      </c>
      <c r="H174" s="176">
        <v>60</v>
      </c>
      <c r="I174" s="171">
        <f t="shared" si="32"/>
        <v>0</v>
      </c>
      <c r="J174" s="171">
        <f t="shared" si="29"/>
        <v>0</v>
      </c>
      <c r="K174" s="171">
        <f t="shared" si="33"/>
        <v>0</v>
      </c>
      <c r="L174" s="171">
        <f t="shared" si="34"/>
        <v>0</v>
      </c>
      <c r="M174" s="172">
        <f t="shared" si="30"/>
        <v>9600</v>
      </c>
      <c r="N174" s="177" t="s">
        <v>813</v>
      </c>
      <c r="O174" s="178"/>
      <c r="P174" s="178"/>
      <c r="Q174" s="178"/>
    </row>
    <row r="175" spans="2:17" s="1" customFormat="1" ht="47.25">
      <c r="B175" s="175" t="s">
        <v>468</v>
      </c>
      <c r="C175" s="175" t="s">
        <v>469</v>
      </c>
      <c r="D175" s="175" t="s">
        <v>470</v>
      </c>
      <c r="E175" s="175" t="s">
        <v>471</v>
      </c>
      <c r="F175" s="182">
        <v>263</v>
      </c>
      <c r="G175" s="176">
        <v>245</v>
      </c>
      <c r="H175" s="176">
        <v>245</v>
      </c>
      <c r="I175" s="171">
        <f t="shared" si="32"/>
        <v>0</v>
      </c>
      <c r="J175" s="171">
        <f t="shared" si="29"/>
        <v>0</v>
      </c>
      <c r="K175" s="171">
        <f t="shared" si="33"/>
        <v>0</v>
      </c>
      <c r="L175" s="171">
        <f t="shared" si="34"/>
        <v>0</v>
      </c>
      <c r="M175" s="172">
        <f t="shared" si="30"/>
        <v>64435</v>
      </c>
      <c r="N175" s="177" t="s">
        <v>779</v>
      </c>
      <c r="O175" s="178"/>
      <c r="P175" s="178"/>
      <c r="Q175" s="178"/>
    </row>
    <row r="176" spans="2:17" s="1" customFormat="1" ht="31.5">
      <c r="B176" s="175" t="s">
        <v>472</v>
      </c>
      <c r="C176" s="179" t="s">
        <v>473</v>
      </c>
      <c r="D176" s="175" t="s">
        <v>474</v>
      </c>
      <c r="E176" s="175" t="s">
        <v>84</v>
      </c>
      <c r="F176" s="182">
        <v>279.89</v>
      </c>
      <c r="G176" s="176">
        <v>320</v>
      </c>
      <c r="H176" s="176">
        <v>320</v>
      </c>
      <c r="I176" s="171">
        <f t="shared" si="32"/>
        <v>0</v>
      </c>
      <c r="J176" s="171">
        <f t="shared" si="29"/>
        <v>0</v>
      </c>
      <c r="K176" s="171">
        <f t="shared" si="33"/>
        <v>0</v>
      </c>
      <c r="L176" s="171">
        <f t="shared" si="34"/>
        <v>0</v>
      </c>
      <c r="M176" s="172">
        <f t="shared" si="30"/>
        <v>89564.799999999988</v>
      </c>
      <c r="N176" s="177" t="s">
        <v>341</v>
      </c>
      <c r="O176" s="178"/>
      <c r="P176" s="178"/>
      <c r="Q176" s="178"/>
    </row>
    <row r="177" spans="2:20" s="1" customFormat="1" ht="39" customHeight="1">
      <c r="B177" s="175" t="s">
        <v>475</v>
      </c>
      <c r="C177" s="175" t="s">
        <v>476</v>
      </c>
      <c r="D177" s="175" t="s">
        <v>232</v>
      </c>
      <c r="E177" s="175" t="s">
        <v>477</v>
      </c>
      <c r="F177" s="182">
        <v>15</v>
      </c>
      <c r="G177" s="176">
        <v>300</v>
      </c>
      <c r="H177" s="176">
        <v>300</v>
      </c>
      <c r="I177" s="171">
        <f t="shared" si="32"/>
        <v>0</v>
      </c>
      <c r="J177" s="171">
        <f t="shared" si="29"/>
        <v>0</v>
      </c>
      <c r="K177" s="171">
        <f t="shared" si="33"/>
        <v>0</v>
      </c>
      <c r="L177" s="171">
        <f t="shared" si="34"/>
        <v>0</v>
      </c>
      <c r="M177" s="172">
        <f t="shared" si="30"/>
        <v>4500</v>
      </c>
      <c r="N177" s="177" t="s">
        <v>159</v>
      </c>
      <c r="O177" s="178"/>
      <c r="P177" s="178"/>
      <c r="Q177" s="178"/>
    </row>
    <row r="178" spans="2:20" s="1" customFormat="1" ht="63">
      <c r="B178" s="180" t="s">
        <v>478</v>
      </c>
      <c r="C178" s="180" t="s">
        <v>479</v>
      </c>
      <c r="D178" s="180" t="s">
        <v>480</v>
      </c>
      <c r="E178" s="181" t="s">
        <v>152</v>
      </c>
      <c r="F178" s="182">
        <v>67.400000000000006</v>
      </c>
      <c r="G178" s="176">
        <v>1830</v>
      </c>
      <c r="H178" s="176">
        <v>1830</v>
      </c>
      <c r="I178" s="171">
        <f t="shared" si="32"/>
        <v>0</v>
      </c>
      <c r="J178" s="171">
        <f t="shared" si="29"/>
        <v>0</v>
      </c>
      <c r="K178" s="171">
        <f t="shared" si="33"/>
        <v>0</v>
      </c>
      <c r="L178" s="171">
        <f t="shared" si="34"/>
        <v>0</v>
      </c>
      <c r="M178" s="172">
        <f t="shared" si="30"/>
        <v>123342.00000000001</v>
      </c>
      <c r="N178" s="177" t="s">
        <v>775</v>
      </c>
      <c r="O178" s="178"/>
      <c r="P178" s="178"/>
      <c r="Q178" s="178"/>
    </row>
    <row r="179" spans="2:20" s="1" customFormat="1" ht="31.5">
      <c r="B179" s="180" t="s">
        <v>485</v>
      </c>
      <c r="C179" s="181" t="s">
        <v>482</v>
      </c>
      <c r="D179" s="180" t="s">
        <v>486</v>
      </c>
      <c r="E179" s="180" t="s">
        <v>487</v>
      </c>
      <c r="F179" s="182">
        <v>85.99</v>
      </c>
      <c r="G179" s="176">
        <v>1690</v>
      </c>
      <c r="H179" s="176">
        <v>1690</v>
      </c>
      <c r="I179" s="171">
        <f t="shared" ref="I179:I188" si="35">G179-H179</f>
        <v>0</v>
      </c>
      <c r="J179" s="171">
        <f t="shared" si="29"/>
        <v>0</v>
      </c>
      <c r="K179" s="171">
        <f t="shared" ref="K179:K184" si="36">H179-G179</f>
        <v>0</v>
      </c>
      <c r="L179" s="171">
        <f t="shared" ref="L179:L185" si="37">F179*K179</f>
        <v>0</v>
      </c>
      <c r="M179" s="172">
        <f t="shared" si="30"/>
        <v>145323.1</v>
      </c>
      <c r="N179" s="177" t="s">
        <v>773</v>
      </c>
      <c r="O179" s="192"/>
      <c r="P179" s="192"/>
      <c r="Q179" s="192"/>
    </row>
    <row r="180" spans="2:20" s="1" customFormat="1" ht="47.25">
      <c r="B180" s="175" t="s">
        <v>488</v>
      </c>
      <c r="C180" s="179" t="s">
        <v>489</v>
      </c>
      <c r="D180" s="175" t="s">
        <v>448</v>
      </c>
      <c r="E180" s="175" t="s">
        <v>118</v>
      </c>
      <c r="F180" s="182">
        <v>0.99</v>
      </c>
      <c r="G180" s="176">
        <v>3300</v>
      </c>
      <c r="H180" s="176">
        <v>3300</v>
      </c>
      <c r="I180" s="171">
        <f t="shared" si="35"/>
        <v>0</v>
      </c>
      <c r="J180" s="171">
        <f t="shared" si="29"/>
        <v>0</v>
      </c>
      <c r="K180" s="171">
        <f t="shared" si="36"/>
        <v>0</v>
      </c>
      <c r="L180" s="171">
        <f t="shared" si="37"/>
        <v>0</v>
      </c>
      <c r="M180" s="172">
        <f t="shared" si="30"/>
        <v>3267</v>
      </c>
      <c r="N180" s="177" t="s">
        <v>808</v>
      </c>
      <c r="O180" s="178"/>
      <c r="P180" s="178"/>
      <c r="Q180" s="178"/>
    </row>
    <row r="181" spans="2:20" s="1" customFormat="1" ht="31.5">
      <c r="B181" s="175" t="s">
        <v>490</v>
      </c>
      <c r="C181" s="179" t="s">
        <v>491</v>
      </c>
      <c r="D181" s="179" t="s">
        <v>492</v>
      </c>
      <c r="E181" s="175" t="s">
        <v>493</v>
      </c>
      <c r="F181" s="182">
        <v>25.27</v>
      </c>
      <c r="G181" s="176">
        <v>140</v>
      </c>
      <c r="H181" s="176">
        <v>140</v>
      </c>
      <c r="I181" s="171">
        <f t="shared" si="35"/>
        <v>0</v>
      </c>
      <c r="J181" s="171">
        <f t="shared" si="29"/>
        <v>0</v>
      </c>
      <c r="K181" s="171">
        <f t="shared" si="36"/>
        <v>0</v>
      </c>
      <c r="L181" s="171">
        <f t="shared" si="37"/>
        <v>0</v>
      </c>
      <c r="M181" s="172">
        <f t="shared" si="30"/>
        <v>3537.7999999999997</v>
      </c>
      <c r="N181" s="177" t="s">
        <v>752</v>
      </c>
      <c r="O181" s="178"/>
      <c r="P181" s="178"/>
      <c r="Q181" s="178"/>
    </row>
    <row r="182" spans="2:20" s="1" customFormat="1" ht="63">
      <c r="B182" s="175" t="s">
        <v>977</v>
      </c>
      <c r="C182" s="188" t="s">
        <v>978</v>
      </c>
      <c r="D182" s="174" t="s">
        <v>979</v>
      </c>
      <c r="E182" s="175" t="s">
        <v>980</v>
      </c>
      <c r="F182" s="182">
        <v>1300</v>
      </c>
      <c r="G182" s="176">
        <v>280</v>
      </c>
      <c r="H182" s="176">
        <v>280</v>
      </c>
      <c r="I182" s="171">
        <f t="shared" si="35"/>
        <v>0</v>
      </c>
      <c r="J182" s="171">
        <f t="shared" si="29"/>
        <v>0</v>
      </c>
      <c r="K182" s="171">
        <f t="shared" si="36"/>
        <v>0</v>
      </c>
      <c r="L182" s="171">
        <f t="shared" si="37"/>
        <v>0</v>
      </c>
      <c r="M182" s="172">
        <f t="shared" si="30"/>
        <v>364000</v>
      </c>
      <c r="N182" s="177" t="s">
        <v>813</v>
      </c>
      <c r="O182" s="178"/>
      <c r="P182" s="178"/>
      <c r="Q182" s="178"/>
    </row>
    <row r="183" spans="2:20" s="1" customFormat="1" ht="63">
      <c r="B183" s="175" t="s">
        <v>981</v>
      </c>
      <c r="C183" s="188" t="s">
        <v>982</v>
      </c>
      <c r="D183" s="174" t="s">
        <v>983</v>
      </c>
      <c r="E183" s="175" t="s">
        <v>980</v>
      </c>
      <c r="F183" s="182">
        <v>1100</v>
      </c>
      <c r="G183" s="176">
        <v>10</v>
      </c>
      <c r="H183" s="176">
        <v>10</v>
      </c>
      <c r="I183" s="171">
        <f t="shared" si="35"/>
        <v>0</v>
      </c>
      <c r="J183" s="171">
        <f t="shared" si="29"/>
        <v>0</v>
      </c>
      <c r="K183" s="171">
        <f t="shared" si="36"/>
        <v>0</v>
      </c>
      <c r="L183" s="171">
        <f t="shared" si="37"/>
        <v>0</v>
      </c>
      <c r="M183" s="172">
        <f t="shared" si="30"/>
        <v>11000</v>
      </c>
      <c r="N183" s="177" t="s">
        <v>721</v>
      </c>
      <c r="O183" s="178"/>
      <c r="P183" s="178"/>
      <c r="Q183" s="178"/>
      <c r="T183" s="22"/>
    </row>
    <row r="184" spans="2:20" s="1" customFormat="1" ht="31.5">
      <c r="B184" s="175" t="s">
        <v>495</v>
      </c>
      <c r="C184" s="175" t="s">
        <v>496</v>
      </c>
      <c r="D184" s="175" t="s">
        <v>497</v>
      </c>
      <c r="E184" s="175" t="s">
        <v>484</v>
      </c>
      <c r="F184" s="182">
        <v>754</v>
      </c>
      <c r="G184" s="176">
        <v>61</v>
      </c>
      <c r="H184" s="176">
        <v>61</v>
      </c>
      <c r="I184" s="171">
        <f t="shared" si="35"/>
        <v>0</v>
      </c>
      <c r="J184" s="171">
        <f t="shared" si="29"/>
        <v>0</v>
      </c>
      <c r="K184" s="171">
        <f t="shared" si="36"/>
        <v>0</v>
      </c>
      <c r="L184" s="171">
        <f t="shared" si="37"/>
        <v>0</v>
      </c>
      <c r="M184" s="172">
        <f t="shared" si="30"/>
        <v>45994</v>
      </c>
      <c r="N184" s="177" t="s">
        <v>757</v>
      </c>
      <c r="O184" s="178"/>
      <c r="P184" s="178"/>
      <c r="Q184" s="178"/>
      <c r="T184" s="23"/>
    </row>
    <row r="185" spans="2:20" s="1" customFormat="1" ht="31.5">
      <c r="B185" s="175" t="s">
        <v>498</v>
      </c>
      <c r="C185" s="175" t="s">
        <v>499</v>
      </c>
      <c r="D185" s="175" t="s">
        <v>500</v>
      </c>
      <c r="E185" s="175" t="s">
        <v>501</v>
      </c>
      <c r="F185" s="182">
        <v>1685</v>
      </c>
      <c r="G185" s="176">
        <v>23</v>
      </c>
      <c r="H185" s="176">
        <v>23</v>
      </c>
      <c r="I185" s="171">
        <f t="shared" si="35"/>
        <v>0</v>
      </c>
      <c r="J185" s="171">
        <f t="shared" si="29"/>
        <v>0</v>
      </c>
      <c r="K185" s="171">
        <f>H185-G185</f>
        <v>0</v>
      </c>
      <c r="L185" s="171">
        <f t="shared" si="37"/>
        <v>0</v>
      </c>
      <c r="M185" s="172">
        <f t="shared" si="30"/>
        <v>38755</v>
      </c>
      <c r="N185" s="177" t="s">
        <v>984</v>
      </c>
      <c r="O185" s="178"/>
      <c r="P185" s="178"/>
      <c r="Q185" s="178"/>
    </row>
    <row r="186" spans="2:20" s="1" customFormat="1" ht="15.75">
      <c r="B186" s="175" t="s">
        <v>503</v>
      </c>
      <c r="C186" s="175" t="s">
        <v>504</v>
      </c>
      <c r="D186" s="175" t="s">
        <v>27</v>
      </c>
      <c r="E186" s="175" t="s">
        <v>152</v>
      </c>
      <c r="F186" s="182">
        <v>1015.3</v>
      </c>
      <c r="G186" s="176">
        <v>300</v>
      </c>
      <c r="H186" s="176">
        <v>300</v>
      </c>
      <c r="I186" s="171">
        <f t="shared" si="35"/>
        <v>0</v>
      </c>
      <c r="J186" s="171">
        <f t="shared" si="29"/>
        <v>0</v>
      </c>
      <c r="K186" s="171">
        <f>H186-G186</f>
        <v>0</v>
      </c>
      <c r="L186" s="171">
        <f>F186*K186</f>
        <v>0</v>
      </c>
      <c r="M186" s="172">
        <f t="shared" si="30"/>
        <v>304590</v>
      </c>
      <c r="N186" s="177" t="s">
        <v>767</v>
      </c>
      <c r="O186" s="178"/>
      <c r="P186" s="178"/>
      <c r="Q186" s="178"/>
    </row>
    <row r="187" spans="2:20" s="1" customFormat="1" ht="31.5">
      <c r="B187" s="175" t="s">
        <v>505</v>
      </c>
      <c r="C187" s="175" t="s">
        <v>506</v>
      </c>
      <c r="D187" s="175" t="s">
        <v>146</v>
      </c>
      <c r="E187" s="175" t="s">
        <v>185</v>
      </c>
      <c r="F187" s="182">
        <v>3.2</v>
      </c>
      <c r="G187" s="176">
        <v>300</v>
      </c>
      <c r="H187" s="176">
        <v>300</v>
      </c>
      <c r="I187" s="171">
        <f t="shared" si="35"/>
        <v>0</v>
      </c>
      <c r="J187" s="171">
        <f t="shared" si="29"/>
        <v>0</v>
      </c>
      <c r="K187" s="171">
        <f>H187-G187</f>
        <v>0</v>
      </c>
      <c r="L187" s="171">
        <f>F187*K187</f>
        <v>0</v>
      </c>
      <c r="M187" s="172">
        <f t="shared" si="30"/>
        <v>960</v>
      </c>
      <c r="N187" s="177" t="s">
        <v>768</v>
      </c>
      <c r="O187" s="178"/>
      <c r="P187" s="178"/>
      <c r="Q187" s="178"/>
    </row>
    <row r="188" spans="2:20" s="1" customFormat="1" ht="15.75">
      <c r="B188" s="180" t="s">
        <v>507</v>
      </c>
      <c r="C188" s="181" t="s">
        <v>508</v>
      </c>
      <c r="D188" s="180" t="s">
        <v>509</v>
      </c>
      <c r="E188" s="180" t="s">
        <v>185</v>
      </c>
      <c r="F188" s="182">
        <v>4</v>
      </c>
      <c r="G188" s="176">
        <v>1100</v>
      </c>
      <c r="H188" s="176">
        <v>1100</v>
      </c>
      <c r="I188" s="171">
        <f t="shared" si="35"/>
        <v>0</v>
      </c>
      <c r="J188" s="171">
        <f t="shared" si="29"/>
        <v>0</v>
      </c>
      <c r="K188" s="171">
        <f>H188-G188</f>
        <v>0</v>
      </c>
      <c r="L188" s="171">
        <f>F188*K188</f>
        <v>0</v>
      </c>
      <c r="M188" s="172">
        <f t="shared" si="30"/>
        <v>4400</v>
      </c>
      <c r="N188" s="177" t="s">
        <v>721</v>
      </c>
      <c r="O188" s="178"/>
      <c r="P188" s="178"/>
      <c r="Q188" s="178"/>
    </row>
    <row r="189" spans="2:20" s="1" customFormat="1" ht="31.5">
      <c r="B189" s="180" t="s">
        <v>753</v>
      </c>
      <c r="C189" s="181" t="s">
        <v>985</v>
      </c>
      <c r="D189" s="174" t="s">
        <v>755</v>
      </c>
      <c r="E189" s="180" t="s">
        <v>207</v>
      </c>
      <c r="F189" s="182">
        <v>24</v>
      </c>
      <c r="G189" s="176">
        <v>4570</v>
      </c>
      <c r="H189" s="176">
        <v>4570</v>
      </c>
      <c r="I189" s="171">
        <f t="shared" ref="I189:I202" si="38">G189-H189</f>
        <v>0</v>
      </c>
      <c r="J189" s="171">
        <f t="shared" si="29"/>
        <v>0</v>
      </c>
      <c r="K189" s="171">
        <f>H189-G189</f>
        <v>0</v>
      </c>
      <c r="L189" s="171">
        <f>F189*K189</f>
        <v>0</v>
      </c>
      <c r="M189" s="172">
        <f t="shared" si="30"/>
        <v>109680</v>
      </c>
      <c r="N189" s="177" t="s">
        <v>767</v>
      </c>
      <c r="O189" s="178"/>
      <c r="P189" s="178"/>
      <c r="Q189" s="178"/>
    </row>
    <row r="190" spans="2:20" s="1" customFormat="1" ht="31.5">
      <c r="B190" s="175" t="s">
        <v>511</v>
      </c>
      <c r="C190" s="175" t="s">
        <v>512</v>
      </c>
      <c r="D190" s="175" t="s">
        <v>513</v>
      </c>
      <c r="E190" s="175" t="s">
        <v>514</v>
      </c>
      <c r="F190" s="182">
        <v>28030</v>
      </c>
      <c r="G190" s="176">
        <v>2</v>
      </c>
      <c r="H190" s="176">
        <v>2</v>
      </c>
      <c r="I190" s="171">
        <f t="shared" si="38"/>
        <v>0</v>
      </c>
      <c r="J190" s="171">
        <f t="shared" si="29"/>
        <v>0</v>
      </c>
      <c r="K190" s="171">
        <f t="shared" ref="K190:K200" si="39">H190-G190</f>
        <v>0</v>
      </c>
      <c r="L190" s="171">
        <f t="shared" ref="L190:L200" si="40">F190*K190</f>
        <v>0</v>
      </c>
      <c r="M190" s="172">
        <f t="shared" si="30"/>
        <v>56060</v>
      </c>
      <c r="N190" s="177" t="s">
        <v>738</v>
      </c>
      <c r="O190" s="178"/>
      <c r="P190" s="178"/>
      <c r="Q190" s="178"/>
    </row>
    <row r="191" spans="2:20" s="1" customFormat="1" ht="31.5">
      <c r="B191" s="175" t="s">
        <v>986</v>
      </c>
      <c r="C191" s="174" t="s">
        <v>987</v>
      </c>
      <c r="D191" s="174" t="s">
        <v>988</v>
      </c>
      <c r="E191" s="175"/>
      <c r="F191" s="182">
        <v>28</v>
      </c>
      <c r="G191" s="176">
        <v>240</v>
      </c>
      <c r="H191" s="176">
        <v>240</v>
      </c>
      <c r="I191" s="171">
        <f t="shared" si="38"/>
        <v>0</v>
      </c>
      <c r="J191" s="171">
        <f t="shared" si="29"/>
        <v>0</v>
      </c>
      <c r="K191" s="171">
        <f t="shared" si="39"/>
        <v>0</v>
      </c>
      <c r="L191" s="171">
        <f t="shared" si="40"/>
        <v>0</v>
      </c>
      <c r="M191" s="172">
        <f t="shared" si="30"/>
        <v>6720</v>
      </c>
      <c r="N191" s="177" t="s">
        <v>863</v>
      </c>
      <c r="O191" s="178"/>
      <c r="P191" s="178"/>
      <c r="Q191" s="178"/>
    </row>
    <row r="192" spans="2:20" s="1" customFormat="1" ht="47.25">
      <c r="B192" s="175" t="s">
        <v>515</v>
      </c>
      <c r="C192" s="179" t="s">
        <v>516</v>
      </c>
      <c r="D192" s="175" t="s">
        <v>517</v>
      </c>
      <c r="E192" s="175" t="s">
        <v>518</v>
      </c>
      <c r="F192" s="182">
        <v>140</v>
      </c>
      <c r="G192" s="176">
        <v>95</v>
      </c>
      <c r="H192" s="176">
        <v>95</v>
      </c>
      <c r="I192" s="171">
        <f t="shared" si="38"/>
        <v>0</v>
      </c>
      <c r="J192" s="171">
        <f t="shared" si="29"/>
        <v>0</v>
      </c>
      <c r="K192" s="171">
        <f t="shared" si="39"/>
        <v>0</v>
      </c>
      <c r="L192" s="171">
        <f t="shared" si="40"/>
        <v>0</v>
      </c>
      <c r="M192" s="172">
        <f t="shared" si="30"/>
        <v>13300</v>
      </c>
      <c r="N192" s="177" t="s">
        <v>721</v>
      </c>
      <c r="O192" s="178"/>
      <c r="P192" s="178"/>
      <c r="Q192" s="178"/>
    </row>
    <row r="193" spans="2:17" s="1" customFormat="1" ht="78.75">
      <c r="B193" s="180" t="s">
        <v>519</v>
      </c>
      <c r="C193" s="180" t="s">
        <v>520</v>
      </c>
      <c r="D193" s="180" t="s">
        <v>521</v>
      </c>
      <c r="E193" s="180" t="s">
        <v>522</v>
      </c>
      <c r="F193" s="182">
        <v>79</v>
      </c>
      <c r="G193" s="176">
        <v>2800</v>
      </c>
      <c r="H193" s="176">
        <v>2800</v>
      </c>
      <c r="I193" s="171">
        <f t="shared" si="38"/>
        <v>0</v>
      </c>
      <c r="J193" s="171">
        <f t="shared" si="29"/>
        <v>0</v>
      </c>
      <c r="K193" s="171">
        <f t="shared" si="39"/>
        <v>0</v>
      </c>
      <c r="L193" s="171">
        <f t="shared" si="40"/>
        <v>0</v>
      </c>
      <c r="M193" s="172">
        <f t="shared" si="30"/>
        <v>221200</v>
      </c>
      <c r="N193" s="177" t="s">
        <v>745</v>
      </c>
      <c r="O193" s="178"/>
      <c r="P193" s="178"/>
      <c r="Q193" s="178"/>
    </row>
    <row r="194" spans="2:17" s="1" customFormat="1" ht="15.75">
      <c r="B194" s="175" t="s">
        <v>989</v>
      </c>
      <c r="C194" s="179" t="s">
        <v>990</v>
      </c>
      <c r="D194" s="175" t="s">
        <v>807</v>
      </c>
      <c r="E194" s="175" t="s">
        <v>862</v>
      </c>
      <c r="F194" s="182">
        <v>0.41</v>
      </c>
      <c r="G194" s="176">
        <v>1700</v>
      </c>
      <c r="H194" s="176">
        <v>1700</v>
      </c>
      <c r="I194" s="171">
        <f t="shared" si="38"/>
        <v>0</v>
      </c>
      <c r="J194" s="171">
        <f t="shared" si="29"/>
        <v>0</v>
      </c>
      <c r="K194" s="171">
        <f t="shared" si="39"/>
        <v>0</v>
      </c>
      <c r="L194" s="171">
        <f t="shared" si="40"/>
        <v>0</v>
      </c>
      <c r="M194" s="172">
        <f t="shared" si="30"/>
        <v>697</v>
      </c>
      <c r="N194" s="177" t="s">
        <v>809</v>
      </c>
      <c r="O194" s="178"/>
      <c r="P194" s="178"/>
      <c r="Q194" s="178"/>
    </row>
    <row r="195" spans="2:17" s="1" customFormat="1" ht="47.25">
      <c r="B195" s="175" t="s">
        <v>523</v>
      </c>
      <c r="C195" s="179" t="s">
        <v>524</v>
      </c>
      <c r="D195" s="175" t="s">
        <v>525</v>
      </c>
      <c r="E195" s="175" t="s">
        <v>250</v>
      </c>
      <c r="F195" s="182">
        <v>92.69</v>
      </c>
      <c r="G195" s="176">
        <v>300</v>
      </c>
      <c r="H195" s="176">
        <v>300</v>
      </c>
      <c r="I195" s="171">
        <f t="shared" si="38"/>
        <v>0</v>
      </c>
      <c r="J195" s="171">
        <f t="shared" si="29"/>
        <v>0</v>
      </c>
      <c r="K195" s="171">
        <f t="shared" si="39"/>
        <v>0</v>
      </c>
      <c r="L195" s="171">
        <f t="shared" si="40"/>
        <v>0</v>
      </c>
      <c r="M195" s="172">
        <f t="shared" si="30"/>
        <v>27807</v>
      </c>
      <c r="N195" s="177" t="s">
        <v>767</v>
      </c>
      <c r="O195" s="178"/>
      <c r="P195" s="178"/>
      <c r="Q195" s="178"/>
    </row>
    <row r="196" spans="2:17" s="1" customFormat="1" ht="126">
      <c r="B196" s="175" t="s">
        <v>527</v>
      </c>
      <c r="C196" s="184" t="s">
        <v>528</v>
      </c>
      <c r="D196" s="175" t="s">
        <v>529</v>
      </c>
      <c r="E196" s="175" t="s">
        <v>530</v>
      </c>
      <c r="F196" s="182">
        <v>7</v>
      </c>
      <c r="G196" s="176">
        <v>10000</v>
      </c>
      <c r="H196" s="176">
        <v>10000</v>
      </c>
      <c r="I196" s="171">
        <f t="shared" si="38"/>
        <v>0</v>
      </c>
      <c r="J196" s="171">
        <f t="shared" si="29"/>
        <v>0</v>
      </c>
      <c r="K196" s="171">
        <f t="shared" si="39"/>
        <v>0</v>
      </c>
      <c r="L196" s="171">
        <f t="shared" si="40"/>
        <v>0</v>
      </c>
      <c r="M196" s="172">
        <f t="shared" si="30"/>
        <v>70000</v>
      </c>
      <c r="N196" s="177" t="s">
        <v>691</v>
      </c>
      <c r="O196" s="178"/>
      <c r="P196" s="178"/>
      <c r="Q196" s="178"/>
    </row>
    <row r="197" spans="2:17" s="1" customFormat="1" ht="47.25">
      <c r="B197" s="180" t="s">
        <v>531</v>
      </c>
      <c r="C197" s="180" t="s">
        <v>532</v>
      </c>
      <c r="D197" s="180" t="s">
        <v>533</v>
      </c>
      <c r="E197" s="180" t="s">
        <v>118</v>
      </c>
      <c r="F197" s="182">
        <v>4.74</v>
      </c>
      <c r="G197" s="176">
        <v>11400</v>
      </c>
      <c r="H197" s="176">
        <v>11400</v>
      </c>
      <c r="I197" s="171">
        <f t="shared" si="38"/>
        <v>0</v>
      </c>
      <c r="J197" s="171">
        <f t="shared" si="29"/>
        <v>0</v>
      </c>
      <c r="K197" s="171">
        <f t="shared" si="39"/>
        <v>0</v>
      </c>
      <c r="L197" s="171">
        <f t="shared" si="40"/>
        <v>0</v>
      </c>
      <c r="M197" s="172">
        <f t="shared" si="30"/>
        <v>54036</v>
      </c>
      <c r="N197" s="177" t="s">
        <v>767</v>
      </c>
      <c r="O197" s="178"/>
      <c r="P197" s="178"/>
      <c r="Q197" s="178"/>
    </row>
    <row r="198" spans="2:17" s="1" customFormat="1" ht="94.5">
      <c r="B198" s="180" t="s">
        <v>534</v>
      </c>
      <c r="C198" s="180" t="s">
        <v>535</v>
      </c>
      <c r="D198" s="180" t="s">
        <v>536</v>
      </c>
      <c r="E198" s="180" t="s">
        <v>537</v>
      </c>
      <c r="F198" s="182">
        <v>524</v>
      </c>
      <c r="G198" s="176">
        <v>300</v>
      </c>
      <c r="H198" s="176">
        <v>300</v>
      </c>
      <c r="I198" s="171">
        <f t="shared" si="38"/>
        <v>0</v>
      </c>
      <c r="J198" s="171">
        <f t="shared" si="29"/>
        <v>0</v>
      </c>
      <c r="K198" s="171">
        <f t="shared" si="39"/>
        <v>0</v>
      </c>
      <c r="L198" s="171">
        <f t="shared" si="40"/>
        <v>0</v>
      </c>
      <c r="M198" s="172">
        <f t="shared" si="30"/>
        <v>157200</v>
      </c>
      <c r="N198" s="177" t="s">
        <v>768</v>
      </c>
      <c r="O198" s="178"/>
      <c r="P198" s="178"/>
      <c r="Q198" s="178"/>
    </row>
    <row r="199" spans="2:17" ht="15.75">
      <c r="B199" s="175"/>
      <c r="C199" s="179" t="s">
        <v>538</v>
      </c>
      <c r="D199" s="175" t="s">
        <v>539</v>
      </c>
      <c r="E199" s="175" t="s">
        <v>185</v>
      </c>
      <c r="F199" s="215">
        <v>0.95</v>
      </c>
      <c r="G199" s="171">
        <v>500</v>
      </c>
      <c r="H199" s="171">
        <v>500</v>
      </c>
      <c r="I199" s="171">
        <f t="shared" si="38"/>
        <v>0</v>
      </c>
      <c r="J199" s="171">
        <f t="shared" ref="J199:J224" si="41">F199*I199</f>
        <v>0</v>
      </c>
      <c r="K199" s="171">
        <f t="shared" si="39"/>
        <v>0</v>
      </c>
      <c r="L199" s="171">
        <f t="shared" si="40"/>
        <v>0</v>
      </c>
      <c r="M199" s="172">
        <f t="shared" ref="M199:M224" si="42">F199*H199</f>
        <v>475</v>
      </c>
      <c r="N199" s="177" t="s">
        <v>732</v>
      </c>
      <c r="O199" s="178"/>
      <c r="P199" s="178"/>
      <c r="Q199" s="178"/>
    </row>
    <row r="200" spans="2:17" s="1" customFormat="1" ht="31.5">
      <c r="B200" s="175" t="s">
        <v>991</v>
      </c>
      <c r="C200" s="179" t="s">
        <v>992</v>
      </c>
      <c r="D200" s="174" t="s">
        <v>993</v>
      </c>
      <c r="E200" s="174" t="s">
        <v>994</v>
      </c>
      <c r="F200" s="182">
        <v>150</v>
      </c>
      <c r="G200" s="176">
        <v>35</v>
      </c>
      <c r="H200" s="176">
        <v>35</v>
      </c>
      <c r="I200" s="171">
        <f t="shared" si="38"/>
        <v>0</v>
      </c>
      <c r="J200" s="171">
        <f t="shared" si="41"/>
        <v>0</v>
      </c>
      <c r="K200" s="171">
        <f t="shared" si="39"/>
        <v>0</v>
      </c>
      <c r="L200" s="171">
        <f t="shared" si="40"/>
        <v>0</v>
      </c>
      <c r="M200" s="172">
        <f t="shared" si="42"/>
        <v>5250</v>
      </c>
      <c r="N200" s="177" t="s">
        <v>819</v>
      </c>
      <c r="O200" s="178"/>
      <c r="P200" s="178"/>
      <c r="Q200" s="178"/>
    </row>
    <row r="201" spans="2:17" s="1" customFormat="1" ht="63">
      <c r="B201" s="175" t="s">
        <v>543</v>
      </c>
      <c r="C201" s="175" t="s">
        <v>544</v>
      </c>
      <c r="D201" s="184" t="s">
        <v>545</v>
      </c>
      <c r="E201" s="175" t="s">
        <v>421</v>
      </c>
      <c r="F201" s="182">
        <v>13</v>
      </c>
      <c r="G201" s="176">
        <v>1200</v>
      </c>
      <c r="H201" s="176">
        <v>1200</v>
      </c>
      <c r="I201" s="171">
        <f t="shared" si="38"/>
        <v>0</v>
      </c>
      <c r="J201" s="171">
        <f t="shared" si="41"/>
        <v>0</v>
      </c>
      <c r="K201" s="171">
        <f>H201-G201</f>
        <v>0</v>
      </c>
      <c r="L201" s="171">
        <f>F201*K201</f>
        <v>0</v>
      </c>
      <c r="M201" s="172">
        <f t="shared" si="42"/>
        <v>15600</v>
      </c>
      <c r="N201" s="177" t="s">
        <v>139</v>
      </c>
      <c r="O201" s="178"/>
      <c r="P201" s="178"/>
      <c r="Q201" s="178"/>
    </row>
    <row r="202" spans="2:17" s="1" customFormat="1" ht="47.25">
      <c r="B202" s="175" t="s">
        <v>547</v>
      </c>
      <c r="C202" s="175" t="s">
        <v>548</v>
      </c>
      <c r="D202" s="175" t="s">
        <v>549</v>
      </c>
      <c r="E202" s="179" t="s">
        <v>550</v>
      </c>
      <c r="F202" s="182">
        <v>2750</v>
      </c>
      <c r="G202" s="176">
        <v>28</v>
      </c>
      <c r="H202" s="176">
        <v>28</v>
      </c>
      <c r="I202" s="171">
        <f t="shared" si="38"/>
        <v>0</v>
      </c>
      <c r="J202" s="171">
        <f t="shared" si="41"/>
        <v>0</v>
      </c>
      <c r="K202" s="171">
        <f>H202-G202</f>
        <v>0</v>
      </c>
      <c r="L202" s="171">
        <f>F202*K202</f>
        <v>0</v>
      </c>
      <c r="M202" s="172">
        <f t="shared" si="42"/>
        <v>77000</v>
      </c>
      <c r="N202" s="177" t="s">
        <v>794</v>
      </c>
      <c r="O202" s="178"/>
      <c r="P202" s="178"/>
      <c r="Q202" s="178"/>
    </row>
    <row r="203" spans="2:17" s="1" customFormat="1" ht="31.5">
      <c r="B203" s="175" t="s">
        <v>995</v>
      </c>
      <c r="C203" s="174" t="s">
        <v>996</v>
      </c>
      <c r="D203" s="174" t="s">
        <v>997</v>
      </c>
      <c r="E203" s="179" t="s">
        <v>522</v>
      </c>
      <c r="F203" s="182">
        <v>110</v>
      </c>
      <c r="G203" s="176">
        <v>115</v>
      </c>
      <c r="H203" s="176">
        <v>115</v>
      </c>
      <c r="I203" s="171"/>
      <c r="J203" s="171">
        <f t="shared" si="41"/>
        <v>0</v>
      </c>
      <c r="K203" s="171"/>
      <c r="L203" s="171"/>
      <c r="M203" s="172">
        <f t="shared" si="42"/>
        <v>12650</v>
      </c>
      <c r="N203" s="177" t="s">
        <v>721</v>
      </c>
      <c r="O203" s="178"/>
      <c r="P203" s="178"/>
      <c r="Q203" s="178"/>
    </row>
    <row r="204" spans="2:17" s="1" customFormat="1" ht="15.75">
      <c r="B204" s="180" t="s">
        <v>551</v>
      </c>
      <c r="C204" s="180" t="s">
        <v>552</v>
      </c>
      <c r="D204" s="180" t="s">
        <v>553</v>
      </c>
      <c r="E204" s="181" t="s">
        <v>550</v>
      </c>
      <c r="F204" s="182">
        <v>899</v>
      </c>
      <c r="G204" s="176">
        <v>96</v>
      </c>
      <c r="H204" s="176">
        <v>96</v>
      </c>
      <c r="I204" s="171">
        <f t="shared" ref="I204:I212" si="43">G204-H204</f>
        <v>0</v>
      </c>
      <c r="J204" s="171">
        <f t="shared" si="41"/>
        <v>0</v>
      </c>
      <c r="K204" s="171">
        <f t="shared" ref="K204:K212" si="44">H204-G204</f>
        <v>0</v>
      </c>
      <c r="L204" s="171">
        <f t="shared" ref="L204:L212" si="45">F204*K204</f>
        <v>0</v>
      </c>
      <c r="M204" s="172">
        <f t="shared" si="42"/>
        <v>86304</v>
      </c>
      <c r="N204" s="177" t="s">
        <v>998</v>
      </c>
      <c r="O204" s="178"/>
      <c r="P204" s="178"/>
      <c r="Q204" s="178"/>
    </row>
    <row r="205" spans="2:17" s="1" customFormat="1" ht="47.25">
      <c r="B205" s="175" t="s">
        <v>555</v>
      </c>
      <c r="C205" s="175" t="s">
        <v>556</v>
      </c>
      <c r="D205" s="175" t="s">
        <v>557</v>
      </c>
      <c r="E205" s="175" t="s">
        <v>558</v>
      </c>
      <c r="F205" s="182">
        <v>100</v>
      </c>
      <c r="G205" s="176">
        <v>15</v>
      </c>
      <c r="H205" s="176">
        <v>15</v>
      </c>
      <c r="I205" s="171">
        <f t="shared" si="43"/>
        <v>0</v>
      </c>
      <c r="J205" s="171">
        <f t="shared" si="41"/>
        <v>0</v>
      </c>
      <c r="K205" s="171">
        <f t="shared" si="44"/>
        <v>0</v>
      </c>
      <c r="L205" s="171">
        <f t="shared" si="45"/>
        <v>0</v>
      </c>
      <c r="M205" s="172">
        <f t="shared" si="42"/>
        <v>1500</v>
      </c>
      <c r="N205" s="177" t="s">
        <v>526</v>
      </c>
      <c r="O205" s="178"/>
      <c r="P205" s="178"/>
      <c r="Q205" s="178"/>
    </row>
    <row r="206" spans="2:17" s="1" customFormat="1" ht="31.5">
      <c r="B206" s="175" t="s">
        <v>559</v>
      </c>
      <c r="C206" s="175" t="s">
        <v>556</v>
      </c>
      <c r="D206" s="175" t="s">
        <v>560</v>
      </c>
      <c r="E206" s="175" t="s">
        <v>561</v>
      </c>
      <c r="F206" s="182">
        <v>340</v>
      </c>
      <c r="G206" s="176">
        <v>375</v>
      </c>
      <c r="H206" s="176">
        <v>375</v>
      </c>
      <c r="I206" s="171">
        <f t="shared" si="43"/>
        <v>0</v>
      </c>
      <c r="J206" s="171">
        <f t="shared" si="41"/>
        <v>0</v>
      </c>
      <c r="K206" s="171">
        <f t="shared" si="44"/>
        <v>0</v>
      </c>
      <c r="L206" s="171">
        <f t="shared" si="45"/>
        <v>0</v>
      </c>
      <c r="M206" s="172">
        <f t="shared" si="42"/>
        <v>127500</v>
      </c>
      <c r="N206" s="177" t="s">
        <v>784</v>
      </c>
      <c r="O206" s="178"/>
      <c r="P206" s="178"/>
      <c r="Q206" s="178"/>
    </row>
    <row r="207" spans="2:17" s="1" customFormat="1" ht="31.5">
      <c r="B207" s="175" t="s">
        <v>999</v>
      </c>
      <c r="C207" s="175" t="s">
        <v>1000</v>
      </c>
      <c r="D207" s="175" t="s">
        <v>1001</v>
      </c>
      <c r="E207" s="175" t="s">
        <v>84</v>
      </c>
      <c r="F207" s="182">
        <v>8000</v>
      </c>
      <c r="G207" s="176">
        <v>110</v>
      </c>
      <c r="H207" s="176">
        <v>110</v>
      </c>
      <c r="I207" s="171">
        <f t="shared" si="43"/>
        <v>0</v>
      </c>
      <c r="J207" s="171">
        <f t="shared" si="41"/>
        <v>0</v>
      </c>
      <c r="K207" s="171">
        <f t="shared" si="44"/>
        <v>0</v>
      </c>
      <c r="L207" s="171">
        <f t="shared" si="45"/>
        <v>0</v>
      </c>
      <c r="M207" s="172">
        <f t="shared" si="42"/>
        <v>880000</v>
      </c>
      <c r="N207" s="177" t="s">
        <v>867</v>
      </c>
      <c r="O207" s="178"/>
      <c r="P207" s="178"/>
      <c r="Q207" s="178"/>
    </row>
    <row r="208" spans="2:17" s="1" customFormat="1" ht="47.25">
      <c r="B208" s="175" t="s">
        <v>565</v>
      </c>
      <c r="C208" s="175" t="s">
        <v>566</v>
      </c>
      <c r="D208" s="175" t="s">
        <v>567</v>
      </c>
      <c r="E208" s="175" t="s">
        <v>23</v>
      </c>
      <c r="F208" s="182">
        <v>63</v>
      </c>
      <c r="G208" s="176">
        <v>400</v>
      </c>
      <c r="H208" s="176">
        <v>400</v>
      </c>
      <c r="I208" s="171">
        <f t="shared" si="43"/>
        <v>0</v>
      </c>
      <c r="J208" s="171">
        <f t="shared" si="41"/>
        <v>0</v>
      </c>
      <c r="K208" s="171">
        <f t="shared" si="44"/>
        <v>0</v>
      </c>
      <c r="L208" s="171">
        <f t="shared" si="45"/>
        <v>0</v>
      </c>
      <c r="M208" s="172">
        <f t="shared" si="42"/>
        <v>25200</v>
      </c>
      <c r="N208" s="177" t="s">
        <v>779</v>
      </c>
      <c r="O208" s="178"/>
      <c r="P208" s="178"/>
      <c r="Q208" s="178"/>
    </row>
    <row r="209" spans="2:17" s="1" customFormat="1" ht="63">
      <c r="B209" s="175" t="s">
        <v>1002</v>
      </c>
      <c r="C209" s="174" t="s">
        <v>1003</v>
      </c>
      <c r="D209" s="175" t="s">
        <v>1004</v>
      </c>
      <c r="E209" s="175" t="s">
        <v>463</v>
      </c>
      <c r="F209" s="182">
        <v>990</v>
      </c>
      <c r="G209" s="176">
        <v>45</v>
      </c>
      <c r="H209" s="176">
        <v>45</v>
      </c>
      <c r="I209" s="171">
        <f t="shared" si="43"/>
        <v>0</v>
      </c>
      <c r="J209" s="171">
        <f t="shared" si="41"/>
        <v>0</v>
      </c>
      <c r="K209" s="171">
        <f t="shared" si="44"/>
        <v>0</v>
      </c>
      <c r="L209" s="171">
        <f t="shared" si="45"/>
        <v>0</v>
      </c>
      <c r="M209" s="172">
        <f t="shared" si="42"/>
        <v>44550</v>
      </c>
      <c r="N209" s="177" t="s">
        <v>790</v>
      </c>
      <c r="O209" s="178"/>
      <c r="P209" s="178"/>
      <c r="Q209" s="178"/>
    </row>
    <row r="210" spans="2:17" s="1" customFormat="1" ht="31.5">
      <c r="B210" s="175" t="s">
        <v>568</v>
      </c>
      <c r="C210" s="175" t="s">
        <v>569</v>
      </c>
      <c r="D210" s="175" t="s">
        <v>570</v>
      </c>
      <c r="E210" s="175" t="s">
        <v>571</v>
      </c>
      <c r="F210" s="182">
        <v>58</v>
      </c>
      <c r="G210" s="176">
        <v>1510</v>
      </c>
      <c r="H210" s="176">
        <v>1510</v>
      </c>
      <c r="I210" s="171">
        <f t="shared" si="43"/>
        <v>0</v>
      </c>
      <c r="J210" s="171">
        <f t="shared" si="41"/>
        <v>0</v>
      </c>
      <c r="K210" s="171">
        <f t="shared" si="44"/>
        <v>0</v>
      </c>
      <c r="L210" s="171">
        <f t="shared" si="45"/>
        <v>0</v>
      </c>
      <c r="M210" s="172">
        <f t="shared" si="42"/>
        <v>87580</v>
      </c>
      <c r="N210" s="177" t="s">
        <v>776</v>
      </c>
      <c r="O210" s="178"/>
      <c r="P210" s="178"/>
      <c r="Q210" s="178"/>
    </row>
    <row r="211" spans="2:17" s="1" customFormat="1" ht="31.5">
      <c r="B211" s="175" t="s">
        <v>576</v>
      </c>
      <c r="C211" s="179" t="s">
        <v>569</v>
      </c>
      <c r="D211" s="175" t="s">
        <v>577</v>
      </c>
      <c r="E211" s="175" t="s">
        <v>23</v>
      </c>
      <c r="F211" s="182">
        <v>55</v>
      </c>
      <c r="G211" s="176">
        <v>20</v>
      </c>
      <c r="H211" s="176">
        <v>20</v>
      </c>
      <c r="I211" s="171">
        <f t="shared" si="43"/>
        <v>0</v>
      </c>
      <c r="J211" s="171">
        <f t="shared" si="41"/>
        <v>0</v>
      </c>
      <c r="K211" s="171">
        <f t="shared" si="44"/>
        <v>0</v>
      </c>
      <c r="L211" s="171">
        <f t="shared" si="45"/>
        <v>0</v>
      </c>
      <c r="M211" s="172">
        <f t="shared" si="42"/>
        <v>1100</v>
      </c>
      <c r="N211" s="177" t="s">
        <v>766</v>
      </c>
      <c r="O211" s="178"/>
      <c r="P211" s="178"/>
      <c r="Q211" s="178"/>
    </row>
    <row r="212" spans="2:17" s="1" customFormat="1" ht="94.5">
      <c r="B212" s="180" t="s">
        <v>579</v>
      </c>
      <c r="C212" s="180" t="s">
        <v>580</v>
      </c>
      <c r="D212" s="180" t="s">
        <v>581</v>
      </c>
      <c r="E212" s="180" t="s">
        <v>582</v>
      </c>
      <c r="F212" s="182">
        <v>58</v>
      </c>
      <c r="G212" s="176">
        <v>7290</v>
      </c>
      <c r="H212" s="176">
        <v>7290</v>
      </c>
      <c r="I212" s="171">
        <f t="shared" si="43"/>
        <v>0</v>
      </c>
      <c r="J212" s="171">
        <f t="shared" si="41"/>
        <v>0</v>
      </c>
      <c r="K212" s="171">
        <f t="shared" si="44"/>
        <v>0</v>
      </c>
      <c r="L212" s="171">
        <f t="shared" si="45"/>
        <v>0</v>
      </c>
      <c r="M212" s="172">
        <f t="shared" si="42"/>
        <v>422820</v>
      </c>
      <c r="N212" s="177" t="s">
        <v>863</v>
      </c>
      <c r="O212" s="178"/>
      <c r="P212" s="178"/>
      <c r="Q212" s="178"/>
    </row>
    <row r="213" spans="2:17" s="1" customFormat="1" ht="31.5">
      <c r="B213" s="180" t="s">
        <v>1005</v>
      </c>
      <c r="C213" s="180" t="s">
        <v>1006</v>
      </c>
      <c r="D213" s="180" t="s">
        <v>1007</v>
      </c>
      <c r="E213" s="180" t="s">
        <v>595</v>
      </c>
      <c r="F213" s="182">
        <v>27</v>
      </c>
      <c r="G213" s="176">
        <v>340</v>
      </c>
      <c r="H213" s="176">
        <v>340</v>
      </c>
      <c r="I213" s="171"/>
      <c r="J213" s="171">
        <f t="shared" si="41"/>
        <v>0</v>
      </c>
      <c r="K213" s="171"/>
      <c r="L213" s="171"/>
      <c r="M213" s="172">
        <f t="shared" si="42"/>
        <v>9180</v>
      </c>
      <c r="N213" s="177" t="s">
        <v>813</v>
      </c>
      <c r="O213" s="178"/>
      <c r="P213" s="178"/>
      <c r="Q213" s="178"/>
    </row>
    <row r="214" spans="2:17" s="1" customFormat="1" ht="31.5">
      <c r="B214" s="180" t="s">
        <v>584</v>
      </c>
      <c r="C214" s="180" t="s">
        <v>585</v>
      </c>
      <c r="D214" s="180" t="s">
        <v>586</v>
      </c>
      <c r="E214" s="180" t="s">
        <v>561</v>
      </c>
      <c r="F214" s="182">
        <v>53</v>
      </c>
      <c r="G214" s="176">
        <v>12031</v>
      </c>
      <c r="H214" s="176">
        <v>12031</v>
      </c>
      <c r="I214" s="171">
        <f t="shared" ref="I214:I229" si="46">G214-H214</f>
        <v>0</v>
      </c>
      <c r="J214" s="171">
        <f t="shared" si="41"/>
        <v>0</v>
      </c>
      <c r="K214" s="171">
        <f t="shared" ref="K214:K229" si="47">H214-G214</f>
        <v>0</v>
      </c>
      <c r="L214" s="171">
        <f t="shared" ref="L214:L229" si="48">F214*K214</f>
        <v>0</v>
      </c>
      <c r="M214" s="172">
        <f t="shared" si="42"/>
        <v>637643</v>
      </c>
      <c r="N214" s="177" t="s">
        <v>767</v>
      </c>
      <c r="O214" s="178"/>
      <c r="P214" s="178"/>
      <c r="Q214" s="178"/>
    </row>
    <row r="215" spans="2:17" s="1" customFormat="1" ht="47.25">
      <c r="B215" s="175"/>
      <c r="C215" s="175" t="s">
        <v>585</v>
      </c>
      <c r="D215" s="175" t="s">
        <v>586</v>
      </c>
      <c r="E215" s="175" t="s">
        <v>588</v>
      </c>
      <c r="F215" s="182">
        <v>400</v>
      </c>
      <c r="G215" s="176">
        <v>40</v>
      </c>
      <c r="H215" s="176">
        <v>40</v>
      </c>
      <c r="I215" s="171">
        <f t="shared" si="46"/>
        <v>0</v>
      </c>
      <c r="J215" s="171">
        <f t="shared" si="41"/>
        <v>0</v>
      </c>
      <c r="K215" s="171">
        <f t="shared" si="47"/>
        <v>0</v>
      </c>
      <c r="L215" s="171">
        <f t="shared" si="48"/>
        <v>0</v>
      </c>
      <c r="M215" s="172">
        <f t="shared" si="42"/>
        <v>16000</v>
      </c>
      <c r="N215" s="177" t="s">
        <v>721</v>
      </c>
      <c r="O215" s="178"/>
      <c r="P215" s="178"/>
      <c r="Q215" s="178"/>
    </row>
    <row r="216" spans="2:17" s="1" customFormat="1" ht="31.5">
      <c r="B216" s="175" t="s">
        <v>758</v>
      </c>
      <c r="C216" s="175" t="s">
        <v>1029</v>
      </c>
      <c r="D216" s="174" t="s">
        <v>760</v>
      </c>
      <c r="E216" s="175" t="s">
        <v>595</v>
      </c>
      <c r="F216" s="182">
        <v>4.25</v>
      </c>
      <c r="G216" s="176">
        <v>2800</v>
      </c>
      <c r="H216" s="176">
        <v>2800</v>
      </c>
      <c r="I216" s="171">
        <f t="shared" si="46"/>
        <v>0</v>
      </c>
      <c r="J216" s="171">
        <f t="shared" si="41"/>
        <v>0</v>
      </c>
      <c r="K216" s="171">
        <f t="shared" si="47"/>
        <v>0</v>
      </c>
      <c r="L216" s="171">
        <f t="shared" si="48"/>
        <v>0</v>
      </c>
      <c r="M216" s="172">
        <f t="shared" si="42"/>
        <v>11900</v>
      </c>
      <c r="N216" s="177" t="s">
        <v>768</v>
      </c>
      <c r="O216" s="178"/>
      <c r="P216" s="178"/>
      <c r="Q216" s="178"/>
    </row>
    <row r="217" spans="2:17" s="1" customFormat="1" ht="31.5">
      <c r="B217" s="175" t="s">
        <v>590</v>
      </c>
      <c r="C217" s="175" t="s">
        <v>591</v>
      </c>
      <c r="D217" s="175" t="s">
        <v>592</v>
      </c>
      <c r="E217" s="175" t="s">
        <v>185</v>
      </c>
      <c r="F217" s="182">
        <v>19</v>
      </c>
      <c r="G217" s="176">
        <v>600</v>
      </c>
      <c r="H217" s="176">
        <v>600</v>
      </c>
      <c r="I217" s="171">
        <f t="shared" si="46"/>
        <v>0</v>
      </c>
      <c r="J217" s="171">
        <f t="shared" si="41"/>
        <v>0</v>
      </c>
      <c r="K217" s="171">
        <f t="shared" si="47"/>
        <v>0</v>
      </c>
      <c r="L217" s="171">
        <f t="shared" si="48"/>
        <v>0</v>
      </c>
      <c r="M217" s="172">
        <f t="shared" si="42"/>
        <v>11400</v>
      </c>
      <c r="N217" s="177" t="s">
        <v>768</v>
      </c>
      <c r="O217" s="178"/>
      <c r="P217" s="178"/>
      <c r="Q217" s="178"/>
    </row>
    <row r="218" spans="2:17" s="1" customFormat="1" ht="31.5">
      <c r="B218" s="175" t="s">
        <v>593</v>
      </c>
      <c r="C218" s="175" t="s">
        <v>585</v>
      </c>
      <c r="D218" s="175" t="s">
        <v>594</v>
      </c>
      <c r="E218" s="175" t="s">
        <v>595</v>
      </c>
      <c r="F218" s="182">
        <v>490</v>
      </c>
      <c r="G218" s="176">
        <v>1830</v>
      </c>
      <c r="H218" s="176">
        <v>1830</v>
      </c>
      <c r="I218" s="171">
        <f t="shared" si="46"/>
        <v>0</v>
      </c>
      <c r="J218" s="171">
        <f t="shared" si="41"/>
        <v>0</v>
      </c>
      <c r="K218" s="171">
        <f t="shared" si="47"/>
        <v>0</v>
      </c>
      <c r="L218" s="171">
        <f t="shared" si="48"/>
        <v>0</v>
      </c>
      <c r="M218" s="172">
        <f t="shared" si="42"/>
        <v>896700</v>
      </c>
      <c r="N218" s="177" t="s">
        <v>713</v>
      </c>
      <c r="O218" s="178"/>
      <c r="P218" s="178"/>
      <c r="Q218" s="178"/>
    </row>
    <row r="219" spans="2:17" s="1" customFormat="1" ht="31.5">
      <c r="B219" s="175" t="s">
        <v>597</v>
      </c>
      <c r="C219" s="175" t="s">
        <v>598</v>
      </c>
      <c r="D219" s="175" t="s">
        <v>599</v>
      </c>
      <c r="E219" s="175" t="s">
        <v>114</v>
      </c>
      <c r="F219" s="182">
        <v>2900</v>
      </c>
      <c r="G219" s="176">
        <v>1</v>
      </c>
      <c r="H219" s="176">
        <v>1</v>
      </c>
      <c r="I219" s="171">
        <f t="shared" si="46"/>
        <v>0</v>
      </c>
      <c r="J219" s="171">
        <f t="shared" si="41"/>
        <v>0</v>
      </c>
      <c r="K219" s="171">
        <f t="shared" si="47"/>
        <v>0</v>
      </c>
      <c r="L219" s="171">
        <f t="shared" si="48"/>
        <v>0</v>
      </c>
      <c r="M219" s="172">
        <f t="shared" si="42"/>
        <v>2900</v>
      </c>
      <c r="N219" s="177" t="s">
        <v>766</v>
      </c>
      <c r="O219" s="178"/>
      <c r="P219" s="178"/>
      <c r="Q219" s="178"/>
    </row>
    <row r="220" spans="2:17" s="1" customFormat="1" ht="63">
      <c r="B220" s="175" t="s">
        <v>1008</v>
      </c>
      <c r="C220" s="174" t="s">
        <v>1009</v>
      </c>
      <c r="D220" s="175" t="s">
        <v>1010</v>
      </c>
      <c r="E220" s="191" t="s">
        <v>1011</v>
      </c>
      <c r="F220" s="182">
        <v>194</v>
      </c>
      <c r="G220" s="176">
        <v>316</v>
      </c>
      <c r="H220" s="176">
        <v>316</v>
      </c>
      <c r="I220" s="171">
        <f t="shared" si="46"/>
        <v>0</v>
      </c>
      <c r="J220" s="171">
        <f t="shared" si="41"/>
        <v>0</v>
      </c>
      <c r="K220" s="171">
        <f t="shared" si="47"/>
        <v>0</v>
      </c>
      <c r="L220" s="171">
        <f t="shared" si="48"/>
        <v>0</v>
      </c>
      <c r="M220" s="172">
        <f t="shared" si="42"/>
        <v>61304</v>
      </c>
      <c r="N220" s="177" t="s">
        <v>768</v>
      </c>
      <c r="O220" s="178"/>
      <c r="P220" s="178"/>
      <c r="Q220" s="178"/>
    </row>
    <row r="221" spans="2:17" s="1" customFormat="1" ht="47.25">
      <c r="B221" s="175" t="s">
        <v>600</v>
      </c>
      <c r="C221" s="175" t="s">
        <v>601</v>
      </c>
      <c r="D221" s="175" t="s">
        <v>602</v>
      </c>
      <c r="E221" s="175" t="s">
        <v>603</v>
      </c>
      <c r="F221" s="182">
        <v>6500</v>
      </c>
      <c r="G221" s="176">
        <v>30</v>
      </c>
      <c r="H221" s="176">
        <v>30</v>
      </c>
      <c r="I221" s="171">
        <f t="shared" si="46"/>
        <v>0</v>
      </c>
      <c r="J221" s="171">
        <f t="shared" si="41"/>
        <v>0</v>
      </c>
      <c r="K221" s="171">
        <f t="shared" si="47"/>
        <v>0</v>
      </c>
      <c r="L221" s="171">
        <f t="shared" si="48"/>
        <v>0</v>
      </c>
      <c r="M221" s="172">
        <f t="shared" si="42"/>
        <v>195000</v>
      </c>
      <c r="N221" s="177" t="s">
        <v>784</v>
      </c>
      <c r="O221" s="178"/>
      <c r="P221" s="178"/>
      <c r="Q221" s="178"/>
    </row>
    <row r="222" spans="2:17" s="1" customFormat="1" ht="63">
      <c r="B222" s="175" t="s">
        <v>604</v>
      </c>
      <c r="C222" s="175" t="s">
        <v>605</v>
      </c>
      <c r="D222" s="184" t="s">
        <v>606</v>
      </c>
      <c r="E222" s="175" t="s">
        <v>607</v>
      </c>
      <c r="F222" s="182">
        <v>1224</v>
      </c>
      <c r="G222" s="176">
        <v>115</v>
      </c>
      <c r="H222" s="176">
        <v>115</v>
      </c>
      <c r="I222" s="171">
        <f t="shared" si="46"/>
        <v>0</v>
      </c>
      <c r="J222" s="171">
        <f t="shared" si="41"/>
        <v>0</v>
      </c>
      <c r="K222" s="171">
        <f t="shared" si="47"/>
        <v>0</v>
      </c>
      <c r="L222" s="171">
        <f t="shared" si="48"/>
        <v>0</v>
      </c>
      <c r="M222" s="172">
        <f t="shared" si="42"/>
        <v>140760</v>
      </c>
      <c r="N222" s="177" t="s">
        <v>766</v>
      </c>
      <c r="O222" s="178"/>
      <c r="P222" s="178"/>
      <c r="Q222" s="178"/>
    </row>
    <row r="223" spans="2:17" s="1" customFormat="1" ht="31.5">
      <c r="B223" s="175" t="s">
        <v>1012</v>
      </c>
      <c r="C223" s="174" t="s">
        <v>762</v>
      </c>
      <c r="D223" s="174" t="s">
        <v>763</v>
      </c>
      <c r="E223" s="175" t="s">
        <v>56</v>
      </c>
      <c r="F223" s="182">
        <v>34</v>
      </c>
      <c r="G223" s="176">
        <v>1450</v>
      </c>
      <c r="H223" s="176">
        <v>1450</v>
      </c>
      <c r="I223" s="171">
        <f t="shared" si="46"/>
        <v>0</v>
      </c>
      <c r="J223" s="171">
        <f t="shared" si="41"/>
        <v>0</v>
      </c>
      <c r="K223" s="171">
        <f t="shared" si="47"/>
        <v>0</v>
      </c>
      <c r="L223" s="171">
        <f t="shared" si="48"/>
        <v>0</v>
      </c>
      <c r="M223" s="172">
        <f t="shared" si="42"/>
        <v>49300</v>
      </c>
      <c r="N223" s="177" t="s">
        <v>341</v>
      </c>
      <c r="O223" s="178"/>
      <c r="P223" s="178"/>
      <c r="Q223" s="178"/>
    </row>
    <row r="224" spans="2:17" s="1" customFormat="1" ht="47.25">
      <c r="B224" s="175" t="s">
        <v>616</v>
      </c>
      <c r="C224" s="179" t="s">
        <v>617</v>
      </c>
      <c r="D224" s="175" t="s">
        <v>618</v>
      </c>
      <c r="E224" s="175" t="s">
        <v>118</v>
      </c>
      <c r="F224" s="182">
        <v>14.66</v>
      </c>
      <c r="G224" s="176">
        <v>570</v>
      </c>
      <c r="H224" s="176">
        <v>570</v>
      </c>
      <c r="I224" s="171">
        <f t="shared" si="46"/>
        <v>0</v>
      </c>
      <c r="J224" s="171">
        <f t="shared" si="41"/>
        <v>0</v>
      </c>
      <c r="K224" s="171">
        <f t="shared" si="47"/>
        <v>0</v>
      </c>
      <c r="L224" s="171">
        <f t="shared" si="48"/>
        <v>0</v>
      </c>
      <c r="M224" s="172">
        <f t="shared" si="42"/>
        <v>8356.2000000000007</v>
      </c>
      <c r="N224" s="177" t="s">
        <v>766</v>
      </c>
      <c r="O224" s="178"/>
      <c r="P224" s="178"/>
      <c r="Q224" s="178"/>
    </row>
    <row r="225" spans="2:17" s="1" customFormat="1" ht="15.75">
      <c r="B225" s="175"/>
      <c r="C225" s="257"/>
      <c r="D225" s="258"/>
      <c r="E225" s="175"/>
      <c r="F225" s="182"/>
      <c r="G225" s="176"/>
      <c r="H225" s="176"/>
      <c r="I225" s="171"/>
      <c r="J225" s="259" t="s">
        <v>1057</v>
      </c>
      <c r="K225" s="260"/>
      <c r="L225" s="261"/>
      <c r="M225" s="218">
        <f>SUM(M7:M224)</f>
        <v>19184847.720000003</v>
      </c>
      <c r="N225" s="177"/>
      <c r="O225" s="178"/>
      <c r="P225" s="178"/>
      <c r="Q225" s="178"/>
    </row>
    <row r="226" spans="2:17" s="1" customFormat="1" ht="15.75">
      <c r="B226" s="213" t="s">
        <v>1028</v>
      </c>
      <c r="C226" s="252" t="s">
        <v>699</v>
      </c>
      <c r="D226" s="253"/>
      <c r="E226" s="175"/>
      <c r="F226" s="182"/>
      <c r="G226" s="176"/>
      <c r="H226" s="176"/>
      <c r="I226" s="171"/>
      <c r="J226" s="171"/>
      <c r="K226" s="171"/>
      <c r="L226" s="171"/>
      <c r="M226" s="172"/>
      <c r="N226" s="177"/>
      <c r="O226" s="178"/>
      <c r="P226" s="178"/>
      <c r="Q226" s="178"/>
    </row>
    <row r="227" spans="2:17" s="1" customFormat="1" ht="78.75">
      <c r="B227" s="180" t="s">
        <v>1042</v>
      </c>
      <c r="C227" s="180" t="s">
        <v>1043</v>
      </c>
      <c r="D227" s="180" t="s">
        <v>1044</v>
      </c>
      <c r="E227" s="181" t="s">
        <v>1044</v>
      </c>
      <c r="F227" s="182">
        <v>2480</v>
      </c>
      <c r="G227" s="176">
        <v>103</v>
      </c>
      <c r="H227" s="176">
        <v>103</v>
      </c>
      <c r="I227" s="171">
        <f>G227-H227</f>
        <v>0</v>
      </c>
      <c r="J227" s="171">
        <f>F227*I227</f>
        <v>0</v>
      </c>
      <c r="K227" s="171">
        <f>H227-G227</f>
        <v>0</v>
      </c>
      <c r="L227" s="171">
        <f>F227*K227</f>
        <v>0</v>
      </c>
      <c r="M227" s="172">
        <f>F227*H227</f>
        <v>255440</v>
      </c>
      <c r="N227" s="177" t="s">
        <v>813</v>
      </c>
      <c r="O227" s="178"/>
      <c r="P227" s="178"/>
      <c r="Q227" s="178"/>
    </row>
    <row r="228" spans="2:17" s="1" customFormat="1" ht="47.25">
      <c r="B228" s="175" t="s">
        <v>1040</v>
      </c>
      <c r="C228" s="175" t="s">
        <v>1039</v>
      </c>
      <c r="D228" s="175" t="s">
        <v>561</v>
      </c>
      <c r="E228" s="179" t="s">
        <v>620</v>
      </c>
      <c r="F228" s="182">
        <v>2930</v>
      </c>
      <c r="G228" s="176">
        <v>120</v>
      </c>
      <c r="H228" s="176">
        <v>120</v>
      </c>
      <c r="I228" s="171">
        <f>G228-H228</f>
        <v>0</v>
      </c>
      <c r="J228" s="171">
        <f t="shared" ref="J228:J237" si="49">F228*I228</f>
        <v>0</v>
      </c>
      <c r="K228" s="171">
        <f>H228-G228</f>
        <v>0</v>
      </c>
      <c r="L228" s="171">
        <f>F228*K228</f>
        <v>0</v>
      </c>
      <c r="M228" s="172">
        <f>F228*H228</f>
        <v>351600</v>
      </c>
      <c r="N228" s="177" t="s">
        <v>788</v>
      </c>
      <c r="O228" s="178"/>
      <c r="P228" s="178"/>
      <c r="Q228" s="178"/>
    </row>
    <row r="229" spans="2:17" s="1" customFormat="1" ht="31.5">
      <c r="B229" s="175" t="s">
        <v>1041</v>
      </c>
      <c r="C229" s="175" t="s">
        <v>1038</v>
      </c>
      <c r="D229" s="175" t="s">
        <v>561</v>
      </c>
      <c r="E229" s="179" t="s">
        <v>620</v>
      </c>
      <c r="F229" s="182">
        <v>1885</v>
      </c>
      <c r="G229" s="176">
        <v>120</v>
      </c>
      <c r="H229" s="176">
        <v>120</v>
      </c>
      <c r="I229" s="171">
        <f t="shared" si="46"/>
        <v>0</v>
      </c>
      <c r="J229" s="171">
        <f t="shared" si="49"/>
        <v>0</v>
      </c>
      <c r="K229" s="171">
        <f t="shared" si="47"/>
        <v>0</v>
      </c>
      <c r="L229" s="171">
        <f t="shared" si="48"/>
        <v>0</v>
      </c>
      <c r="M229" s="172">
        <f t="shared" ref="M229" si="50">F229*H229</f>
        <v>226200</v>
      </c>
      <c r="N229" s="177" t="s">
        <v>776</v>
      </c>
      <c r="O229" s="178"/>
      <c r="P229" s="178"/>
      <c r="Q229" s="178"/>
    </row>
    <row r="230" spans="2:17" s="1" customFormat="1" ht="15.75">
      <c r="B230" s="180" t="s">
        <v>629</v>
      </c>
      <c r="C230" s="180" t="s">
        <v>630</v>
      </c>
      <c r="D230" s="180" t="s">
        <v>624</v>
      </c>
      <c r="E230" s="181" t="s">
        <v>625</v>
      </c>
      <c r="F230" s="182">
        <v>956</v>
      </c>
      <c r="G230" s="176">
        <v>28</v>
      </c>
      <c r="H230" s="176">
        <v>28</v>
      </c>
      <c r="I230" s="171">
        <f t="shared" ref="I230:I235" si="51">G230-H230</f>
        <v>0</v>
      </c>
      <c r="J230" s="171">
        <f t="shared" si="49"/>
        <v>0</v>
      </c>
      <c r="K230" s="171">
        <f t="shared" ref="K230:K235" si="52">H230-G230</f>
        <v>0</v>
      </c>
      <c r="L230" s="171">
        <f t="shared" ref="L230:L235" si="53">F230*K230</f>
        <v>0</v>
      </c>
      <c r="M230" s="172">
        <f t="shared" ref="M230:M235" si="54">F230*H230</f>
        <v>26768</v>
      </c>
      <c r="N230" s="177" t="s">
        <v>732</v>
      </c>
      <c r="O230" s="178"/>
      <c r="P230" s="178"/>
      <c r="Q230" s="178"/>
    </row>
    <row r="231" spans="2:17" s="1" customFormat="1" ht="110.25">
      <c r="B231" s="180" t="s">
        <v>1045</v>
      </c>
      <c r="C231" s="180" t="s">
        <v>1048</v>
      </c>
      <c r="D231" s="180" t="s">
        <v>1046</v>
      </c>
      <c r="E231" s="181" t="s">
        <v>1047</v>
      </c>
      <c r="F231" s="182">
        <v>1351</v>
      </c>
      <c r="G231" s="176">
        <v>30</v>
      </c>
      <c r="H231" s="176">
        <v>30</v>
      </c>
      <c r="I231" s="171">
        <f t="shared" ref="I231" si="55">G231-H231</f>
        <v>0</v>
      </c>
      <c r="J231" s="171">
        <f t="shared" ref="J231" si="56">F231*I231</f>
        <v>0</v>
      </c>
      <c r="K231" s="171">
        <f t="shared" ref="K231" si="57">H231-G231</f>
        <v>0</v>
      </c>
      <c r="L231" s="171">
        <f t="shared" ref="L231" si="58">F231*K231</f>
        <v>0</v>
      </c>
      <c r="M231" s="172">
        <f t="shared" ref="M231" si="59">F231*H231</f>
        <v>40530</v>
      </c>
      <c r="N231" s="177" t="s">
        <v>1013</v>
      </c>
      <c r="O231" s="178"/>
      <c r="P231" s="178"/>
      <c r="Q231" s="178"/>
    </row>
    <row r="232" spans="2:17" s="1" customFormat="1" ht="15.75">
      <c r="B232" s="180"/>
      <c r="C232" s="180" t="s">
        <v>635</v>
      </c>
      <c r="D232" s="180" t="s">
        <v>636</v>
      </c>
      <c r="E232" s="181" t="s">
        <v>636</v>
      </c>
      <c r="F232" s="182">
        <v>1530</v>
      </c>
      <c r="G232" s="176">
        <v>45</v>
      </c>
      <c r="H232" s="176">
        <v>45</v>
      </c>
      <c r="I232" s="176">
        <f t="shared" si="51"/>
        <v>0</v>
      </c>
      <c r="J232" s="171">
        <f t="shared" si="49"/>
        <v>0</v>
      </c>
      <c r="K232" s="176">
        <f t="shared" si="52"/>
        <v>0</v>
      </c>
      <c r="L232" s="176">
        <f t="shared" si="53"/>
        <v>0</v>
      </c>
      <c r="M232" s="193">
        <f t="shared" si="54"/>
        <v>68850</v>
      </c>
      <c r="N232" s="194" t="s">
        <v>692</v>
      </c>
      <c r="O232" s="192"/>
      <c r="P232" s="192"/>
      <c r="Q232" s="192"/>
    </row>
    <row r="233" spans="2:17" s="1" customFormat="1" ht="31.5">
      <c r="B233" s="180" t="s">
        <v>1052</v>
      </c>
      <c r="C233" s="175" t="s">
        <v>1053</v>
      </c>
      <c r="D233" s="180" t="s">
        <v>1054</v>
      </c>
      <c r="E233" s="181" t="s">
        <v>1055</v>
      </c>
      <c r="F233" s="182">
        <v>381</v>
      </c>
      <c r="G233" s="176">
        <v>24</v>
      </c>
      <c r="H233" s="176">
        <v>24</v>
      </c>
      <c r="I233" s="176">
        <f t="shared" si="51"/>
        <v>0</v>
      </c>
      <c r="J233" s="171">
        <f t="shared" si="49"/>
        <v>0</v>
      </c>
      <c r="K233" s="176">
        <f t="shared" si="52"/>
        <v>0</v>
      </c>
      <c r="L233" s="176">
        <f t="shared" si="53"/>
        <v>0</v>
      </c>
      <c r="M233" s="193">
        <f t="shared" si="54"/>
        <v>9144</v>
      </c>
      <c r="N233" s="194" t="s">
        <v>789</v>
      </c>
      <c r="O233" s="192"/>
      <c r="P233" s="192"/>
      <c r="Q233" s="192"/>
    </row>
    <row r="234" spans="2:17" ht="63">
      <c r="B234" s="175" t="s">
        <v>1059</v>
      </c>
      <c r="C234" s="175" t="s">
        <v>1049</v>
      </c>
      <c r="D234" s="175" t="s">
        <v>1050</v>
      </c>
      <c r="E234" s="179" t="s">
        <v>625</v>
      </c>
      <c r="F234" s="215">
        <v>1233</v>
      </c>
      <c r="G234" s="171">
        <v>74</v>
      </c>
      <c r="H234" s="171">
        <v>74</v>
      </c>
      <c r="I234" s="171">
        <f t="shared" si="51"/>
        <v>0</v>
      </c>
      <c r="J234" s="171">
        <f t="shared" si="49"/>
        <v>0</v>
      </c>
      <c r="K234" s="171">
        <f t="shared" si="52"/>
        <v>0</v>
      </c>
      <c r="L234" s="171">
        <f t="shared" si="53"/>
        <v>0</v>
      </c>
      <c r="M234" s="216">
        <f t="shared" si="54"/>
        <v>91242</v>
      </c>
      <c r="N234" s="177" t="s">
        <v>789</v>
      </c>
      <c r="O234" s="178"/>
      <c r="P234" s="178"/>
      <c r="Q234" s="178"/>
    </row>
    <row r="235" spans="2:17" s="1" customFormat="1" ht="47.25">
      <c r="B235" s="180" t="s">
        <v>1051</v>
      </c>
      <c r="C235" s="180" t="s">
        <v>1036</v>
      </c>
      <c r="D235" s="180" t="s">
        <v>1034</v>
      </c>
      <c r="E235" s="181" t="s">
        <v>625</v>
      </c>
      <c r="F235" s="182">
        <v>200</v>
      </c>
      <c r="G235" s="176">
        <v>240</v>
      </c>
      <c r="H235" s="176">
        <v>240</v>
      </c>
      <c r="I235" s="171">
        <f t="shared" si="51"/>
        <v>0</v>
      </c>
      <c r="J235" s="171">
        <f t="shared" si="49"/>
        <v>0</v>
      </c>
      <c r="K235" s="171">
        <f t="shared" si="52"/>
        <v>0</v>
      </c>
      <c r="L235" s="171">
        <f t="shared" si="53"/>
        <v>0</v>
      </c>
      <c r="M235" s="172">
        <f t="shared" si="54"/>
        <v>48000</v>
      </c>
      <c r="N235" s="177" t="s">
        <v>745</v>
      </c>
      <c r="O235" s="178"/>
      <c r="P235" s="178"/>
      <c r="Q235" s="178"/>
    </row>
    <row r="236" spans="2:17" s="1" customFormat="1" ht="31.5">
      <c r="B236" s="180" t="s">
        <v>643</v>
      </c>
      <c r="C236" s="180" t="s">
        <v>1037</v>
      </c>
      <c r="D236" s="180" t="s">
        <v>645</v>
      </c>
      <c r="E236" s="181" t="s">
        <v>645</v>
      </c>
      <c r="F236" s="182">
        <v>850</v>
      </c>
      <c r="G236" s="176">
        <v>120</v>
      </c>
      <c r="H236" s="176">
        <v>120</v>
      </c>
      <c r="I236" s="171">
        <f t="shared" ref="I236:I244" si="60">G236-H236</f>
        <v>0</v>
      </c>
      <c r="J236" s="171">
        <f t="shared" si="49"/>
        <v>0</v>
      </c>
      <c r="K236" s="171">
        <f t="shared" ref="K236:K244" si="61">H236-G236</f>
        <v>0</v>
      </c>
      <c r="L236" s="171">
        <f t="shared" ref="L236:L244" si="62">F236*K236</f>
        <v>0</v>
      </c>
      <c r="M236" s="172">
        <f t="shared" ref="M236:M244" si="63">F236*H236</f>
        <v>102000</v>
      </c>
      <c r="N236" s="177" t="s">
        <v>813</v>
      </c>
      <c r="O236" s="192"/>
      <c r="P236" s="192"/>
      <c r="Q236" s="192"/>
    </row>
    <row r="237" spans="2:17" s="1" customFormat="1" ht="31.5">
      <c r="B237" s="180" t="s">
        <v>1035</v>
      </c>
      <c r="C237" s="180" t="s">
        <v>640</v>
      </c>
      <c r="D237" s="180" t="s">
        <v>645</v>
      </c>
      <c r="E237" s="181" t="s">
        <v>641</v>
      </c>
      <c r="F237" s="182">
        <v>726</v>
      </c>
      <c r="G237" s="176">
        <v>30</v>
      </c>
      <c r="H237" s="176">
        <v>30</v>
      </c>
      <c r="I237" s="171">
        <f>G237-H237</f>
        <v>0</v>
      </c>
      <c r="J237" s="171">
        <f t="shared" si="49"/>
        <v>0</v>
      </c>
      <c r="K237" s="171">
        <f>H237-G237</f>
        <v>0</v>
      </c>
      <c r="L237" s="171">
        <f>F237*K237</f>
        <v>0</v>
      </c>
      <c r="M237" s="172">
        <f>F237*H237</f>
        <v>21780</v>
      </c>
      <c r="N237" s="177" t="s">
        <v>808</v>
      </c>
      <c r="O237" s="178"/>
      <c r="P237" s="178"/>
      <c r="Q237" s="178"/>
    </row>
    <row r="238" spans="2:17" ht="31.5">
      <c r="B238" s="175"/>
      <c r="C238" s="174" t="s">
        <v>649</v>
      </c>
      <c r="D238" s="180" t="s">
        <v>645</v>
      </c>
      <c r="E238" s="174" t="s">
        <v>645</v>
      </c>
      <c r="F238" s="171">
        <v>5</v>
      </c>
      <c r="G238" s="171">
        <v>7000</v>
      </c>
      <c r="H238" s="171">
        <v>7000</v>
      </c>
      <c r="I238" s="171">
        <f t="shared" si="60"/>
        <v>0</v>
      </c>
      <c r="J238" s="171">
        <f t="shared" ref="J238:J244" si="64">F238*I238</f>
        <v>0</v>
      </c>
      <c r="K238" s="171">
        <f t="shared" si="61"/>
        <v>0</v>
      </c>
      <c r="L238" s="171">
        <f t="shared" si="62"/>
        <v>0</v>
      </c>
      <c r="M238" s="216">
        <f t="shared" si="63"/>
        <v>35000</v>
      </c>
      <c r="N238" s="177" t="s">
        <v>648</v>
      </c>
      <c r="O238" s="178"/>
      <c r="P238" s="178"/>
      <c r="Q238" s="178"/>
    </row>
    <row r="239" spans="2:17" ht="31.5">
      <c r="B239" s="178"/>
      <c r="C239" s="174" t="s">
        <v>1014</v>
      </c>
      <c r="D239" s="180" t="s">
        <v>645</v>
      </c>
      <c r="E239" s="174" t="s">
        <v>645</v>
      </c>
      <c r="F239" s="217">
        <v>1.5</v>
      </c>
      <c r="G239" s="171">
        <v>32000</v>
      </c>
      <c r="H239" s="171">
        <v>32000</v>
      </c>
      <c r="I239" s="171">
        <f t="shared" si="60"/>
        <v>0</v>
      </c>
      <c r="J239" s="171">
        <f t="shared" si="64"/>
        <v>0</v>
      </c>
      <c r="K239" s="171">
        <f t="shared" si="61"/>
        <v>0</v>
      </c>
      <c r="L239" s="171">
        <f t="shared" si="62"/>
        <v>0</v>
      </c>
      <c r="M239" s="216">
        <f t="shared" si="63"/>
        <v>48000</v>
      </c>
      <c r="N239" s="177" t="s">
        <v>1015</v>
      </c>
      <c r="O239" s="178"/>
      <c r="P239" s="178"/>
      <c r="Q239" s="178"/>
    </row>
    <row r="240" spans="2:17" ht="31.5">
      <c r="B240" s="178"/>
      <c r="C240" s="174" t="s">
        <v>1031</v>
      </c>
      <c r="D240" s="178" t="s">
        <v>645</v>
      </c>
      <c r="E240" s="174" t="s">
        <v>645</v>
      </c>
      <c r="F240" s="217">
        <v>215</v>
      </c>
      <c r="G240" s="171">
        <v>1440</v>
      </c>
      <c r="H240" s="171">
        <v>1440</v>
      </c>
      <c r="I240" s="171">
        <f t="shared" si="60"/>
        <v>0</v>
      </c>
      <c r="J240" s="171">
        <f t="shared" si="64"/>
        <v>0</v>
      </c>
      <c r="K240" s="171">
        <f t="shared" si="61"/>
        <v>0</v>
      </c>
      <c r="L240" s="171">
        <f t="shared" si="62"/>
        <v>0</v>
      </c>
      <c r="M240" s="216">
        <f t="shared" si="63"/>
        <v>309600</v>
      </c>
      <c r="N240" s="177" t="s">
        <v>648</v>
      </c>
      <c r="O240" s="178"/>
      <c r="P240" s="178"/>
      <c r="Q240" s="178"/>
    </row>
    <row r="241" spans="2:17" ht="31.5">
      <c r="B241" s="178"/>
      <c r="C241" s="174" t="s">
        <v>1032</v>
      </c>
      <c r="D241" s="178" t="s">
        <v>645</v>
      </c>
      <c r="E241" s="174" t="s">
        <v>645</v>
      </c>
      <c r="F241" s="217">
        <v>215</v>
      </c>
      <c r="G241" s="171">
        <v>760</v>
      </c>
      <c r="H241" s="171">
        <v>760</v>
      </c>
      <c r="I241" s="171">
        <f t="shared" si="60"/>
        <v>0</v>
      </c>
      <c r="J241" s="171">
        <f t="shared" si="64"/>
        <v>0</v>
      </c>
      <c r="K241" s="171">
        <f t="shared" si="61"/>
        <v>0</v>
      </c>
      <c r="L241" s="171">
        <f t="shared" si="62"/>
        <v>0</v>
      </c>
      <c r="M241" s="216">
        <f t="shared" si="63"/>
        <v>163400</v>
      </c>
      <c r="N241" s="177" t="s">
        <v>648</v>
      </c>
      <c r="O241" s="178"/>
      <c r="P241" s="178"/>
      <c r="Q241" s="178"/>
    </row>
    <row r="242" spans="2:17" ht="31.5">
      <c r="B242" s="178"/>
      <c r="C242" s="174" t="s">
        <v>1033</v>
      </c>
      <c r="D242" s="178" t="s">
        <v>645</v>
      </c>
      <c r="E242" s="174" t="s">
        <v>645</v>
      </c>
      <c r="F242" s="217">
        <v>215</v>
      </c>
      <c r="G242" s="171">
        <v>500</v>
      </c>
      <c r="H242" s="171">
        <v>500</v>
      </c>
      <c r="I242" s="171">
        <f t="shared" si="60"/>
        <v>0</v>
      </c>
      <c r="J242" s="171">
        <f t="shared" si="64"/>
        <v>0</v>
      </c>
      <c r="K242" s="171">
        <f t="shared" si="61"/>
        <v>0</v>
      </c>
      <c r="L242" s="171">
        <f t="shared" si="62"/>
        <v>0</v>
      </c>
      <c r="M242" s="216">
        <f t="shared" si="63"/>
        <v>107500</v>
      </c>
      <c r="N242" s="177" t="s">
        <v>648</v>
      </c>
      <c r="O242" s="178"/>
      <c r="P242" s="178"/>
      <c r="Q242" s="178"/>
    </row>
    <row r="243" spans="2:17" ht="31.5">
      <c r="B243" s="178"/>
      <c r="C243" s="174" t="s">
        <v>650</v>
      </c>
      <c r="D243" s="174" t="s">
        <v>645</v>
      </c>
      <c r="E243" s="174" t="s">
        <v>641</v>
      </c>
      <c r="F243" s="195">
        <v>450</v>
      </c>
      <c r="G243" s="176">
        <v>150</v>
      </c>
      <c r="H243" s="176">
        <v>150</v>
      </c>
      <c r="I243" s="171">
        <f t="shared" si="60"/>
        <v>0</v>
      </c>
      <c r="J243" s="171">
        <f t="shared" si="64"/>
        <v>0</v>
      </c>
      <c r="K243" s="171">
        <f t="shared" si="61"/>
        <v>0</v>
      </c>
      <c r="L243" s="171">
        <f t="shared" si="62"/>
        <v>0</v>
      </c>
      <c r="M243" s="172">
        <f t="shared" si="63"/>
        <v>67500</v>
      </c>
      <c r="N243" s="177" t="s">
        <v>691</v>
      </c>
      <c r="O243" s="178"/>
      <c r="P243" s="178"/>
      <c r="Q243" s="178"/>
    </row>
    <row r="244" spans="2:17" ht="31.5">
      <c r="B244" s="178"/>
      <c r="C244" s="174" t="s">
        <v>651</v>
      </c>
      <c r="D244" s="174" t="s">
        <v>645</v>
      </c>
      <c r="E244" s="174" t="s">
        <v>641</v>
      </c>
      <c r="F244" s="196">
        <v>230</v>
      </c>
      <c r="G244" s="176">
        <v>100</v>
      </c>
      <c r="H244" s="176">
        <v>100</v>
      </c>
      <c r="I244" s="171">
        <f t="shared" si="60"/>
        <v>0</v>
      </c>
      <c r="J244" s="171">
        <f t="shared" si="64"/>
        <v>0</v>
      </c>
      <c r="K244" s="171">
        <f t="shared" si="61"/>
        <v>0</v>
      </c>
      <c r="L244" s="171">
        <f t="shared" si="62"/>
        <v>0</v>
      </c>
      <c r="M244" s="172">
        <f t="shared" si="63"/>
        <v>23000</v>
      </c>
      <c r="N244" s="177" t="s">
        <v>692</v>
      </c>
      <c r="O244" s="178"/>
      <c r="P244" s="178"/>
      <c r="Q244" s="178"/>
    </row>
    <row r="245" spans="2:17" ht="15.75" customHeight="1">
      <c r="B245" s="178"/>
      <c r="C245" s="178"/>
      <c r="D245" s="178"/>
      <c r="E245" s="174"/>
      <c r="F245" s="176"/>
      <c r="G245" s="176"/>
      <c r="H245" s="176"/>
      <c r="I245" s="171"/>
      <c r="J245" s="262" t="s">
        <v>1057</v>
      </c>
      <c r="K245" s="263"/>
      <c r="L245" s="264"/>
      <c r="M245" s="218">
        <f>SUM(M227:M244)</f>
        <v>1995554</v>
      </c>
      <c r="N245" s="177"/>
      <c r="O245" s="178"/>
      <c r="P245" s="178"/>
      <c r="Q245" s="178"/>
    </row>
    <row r="246" spans="2:17" ht="15.75">
      <c r="B246" s="3"/>
      <c r="C246" s="3"/>
      <c r="D246" s="3"/>
      <c r="E246" s="4"/>
      <c r="F246" s="5"/>
      <c r="G246" s="6"/>
      <c r="H246" s="6"/>
      <c r="I246" s="5"/>
      <c r="J246" s="265" t="s">
        <v>1058</v>
      </c>
      <c r="K246" s="266"/>
      <c r="L246" s="267"/>
      <c r="M246" s="201">
        <f>M245+M225</f>
        <v>21180401.720000003</v>
      </c>
      <c r="N246" s="12"/>
      <c r="O246" s="3"/>
      <c r="P246" s="3"/>
      <c r="Q246" s="3"/>
    </row>
    <row r="247" spans="2:17" ht="15.75">
      <c r="B247" s="3"/>
      <c r="C247" s="3"/>
      <c r="D247" s="3"/>
      <c r="E247" s="4"/>
      <c r="F247" s="5"/>
      <c r="G247" s="6"/>
      <c r="H247" s="6"/>
      <c r="I247" s="5"/>
      <c r="J247" s="5"/>
      <c r="K247" s="5"/>
      <c r="L247" s="5"/>
      <c r="M247" s="11"/>
      <c r="N247" s="12"/>
      <c r="O247" s="3"/>
      <c r="P247" s="3"/>
      <c r="Q247" s="3"/>
    </row>
    <row r="248" spans="2:17" ht="15.75">
      <c r="B248" s="245"/>
      <c r="C248" s="245"/>
      <c r="D248" s="245"/>
      <c r="E248" s="245"/>
      <c r="F248" s="245"/>
      <c r="G248" s="245"/>
      <c r="H248" s="245"/>
      <c r="I248" s="245"/>
      <c r="J248" s="245"/>
      <c r="K248" s="245"/>
      <c r="L248" s="245"/>
      <c r="M248" s="245"/>
      <c r="N248" s="245"/>
      <c r="O248" s="245"/>
      <c r="P248" s="3"/>
      <c r="Q248" s="3"/>
    </row>
    <row r="249" spans="2:17" ht="15.75">
      <c r="B249" s="246" t="s">
        <v>652</v>
      </c>
      <c r="C249" s="246"/>
      <c r="D249" s="246"/>
      <c r="E249" s="246"/>
      <c r="F249" s="246"/>
      <c r="G249" s="246"/>
      <c r="H249" s="246"/>
      <c r="I249" s="246"/>
      <c r="J249" s="246"/>
      <c r="K249" s="246"/>
      <c r="L249" s="246"/>
      <c r="M249" s="246"/>
      <c r="N249" s="246"/>
      <c r="O249" s="31"/>
      <c r="P249" s="3"/>
      <c r="Q249" s="3"/>
    </row>
    <row r="250" spans="2:17" ht="15.75">
      <c r="B250" s="4"/>
      <c r="C250" s="4"/>
      <c r="D250" s="4"/>
      <c r="E250" s="4"/>
      <c r="F250" s="25"/>
      <c r="G250" s="26"/>
      <c r="H250" s="26"/>
      <c r="I250" s="4"/>
      <c r="J250" s="32"/>
      <c r="K250" s="4"/>
      <c r="L250" s="4"/>
      <c r="M250" s="4"/>
      <c r="N250" s="33"/>
      <c r="O250" s="34"/>
      <c r="P250" s="3"/>
      <c r="Q250" s="3"/>
    </row>
    <row r="251" spans="2:17" ht="78.75">
      <c r="B251" s="247"/>
      <c r="C251" s="247"/>
      <c r="D251" s="27" t="s">
        <v>653</v>
      </c>
      <c r="E251" s="248" t="s">
        <v>654</v>
      </c>
      <c r="F251" s="248"/>
      <c r="G251" s="28" t="s">
        <v>655</v>
      </c>
      <c r="H251" s="28" t="s">
        <v>656</v>
      </c>
      <c r="I251" s="27" t="s">
        <v>657</v>
      </c>
      <c r="J251" s="248" t="s">
        <v>658</v>
      </c>
      <c r="K251" s="248"/>
      <c r="L251" s="248" t="s">
        <v>659</v>
      </c>
      <c r="M251" s="248"/>
      <c r="N251" s="35" t="s">
        <v>660</v>
      </c>
      <c r="O251" s="36"/>
      <c r="P251" s="3"/>
      <c r="Q251" s="3"/>
    </row>
    <row r="252" spans="2:17" ht="15.75">
      <c r="B252" s="249" t="s">
        <v>661</v>
      </c>
      <c r="C252" s="249"/>
      <c r="D252" s="4"/>
      <c r="E252" s="249"/>
      <c r="F252" s="249"/>
      <c r="G252" s="26"/>
      <c r="H252" s="26"/>
      <c r="I252" s="4"/>
      <c r="J252" s="249"/>
      <c r="K252" s="249"/>
      <c r="L252" s="249"/>
      <c r="M252" s="249"/>
      <c r="N252" s="33"/>
      <c r="O252" s="37"/>
      <c r="P252" s="3"/>
      <c r="Q252" s="3"/>
    </row>
    <row r="253" spans="2:17" ht="15.75">
      <c r="B253" s="249" t="s">
        <v>662</v>
      </c>
      <c r="C253" s="249"/>
      <c r="D253" s="4"/>
      <c r="E253" s="249"/>
      <c r="F253" s="249"/>
      <c r="G253" s="26"/>
      <c r="H253" s="26"/>
      <c r="I253" s="4"/>
      <c r="J253" s="249"/>
      <c r="K253" s="249"/>
      <c r="L253" s="249"/>
      <c r="M253" s="249"/>
      <c r="N253" s="33"/>
      <c r="O253" s="31"/>
      <c r="P253" s="3"/>
      <c r="Q253" s="3"/>
    </row>
    <row r="254" spans="2:17" ht="15.75">
      <c r="B254" s="4"/>
      <c r="C254" s="4"/>
      <c r="D254" s="4"/>
      <c r="E254" s="4"/>
      <c r="F254" s="25"/>
      <c r="G254" s="26"/>
      <c r="H254" s="26"/>
      <c r="I254" s="4"/>
      <c r="J254" s="32"/>
      <c r="K254" s="4"/>
      <c r="L254" s="4"/>
      <c r="M254" s="4"/>
      <c r="N254" s="33"/>
      <c r="O254" s="31"/>
      <c r="P254" s="3"/>
      <c r="Q254" s="3"/>
    </row>
    <row r="255" spans="2:17" ht="15.75">
      <c r="B255" s="4"/>
      <c r="C255" s="4"/>
      <c r="D255" s="4"/>
      <c r="E255" s="4"/>
      <c r="F255" s="25"/>
      <c r="G255" s="26"/>
      <c r="H255" s="26"/>
      <c r="I255" s="4"/>
      <c r="J255" s="32"/>
      <c r="K255" s="4"/>
      <c r="L255" s="4"/>
      <c r="M255" s="4"/>
      <c r="N255" s="33"/>
      <c r="O255" s="38"/>
      <c r="P255" s="3"/>
      <c r="Q255" s="3"/>
    </row>
    <row r="256" spans="2:17" ht="31.5">
      <c r="B256" s="4"/>
      <c r="C256" s="4" t="s">
        <v>663</v>
      </c>
      <c r="D256" s="29" t="s">
        <v>664</v>
      </c>
      <c r="E256" s="4" t="s">
        <v>664</v>
      </c>
      <c r="F256" s="254" t="s">
        <v>1016</v>
      </c>
      <c r="G256" s="254"/>
      <c r="H256" s="26" t="s">
        <v>666</v>
      </c>
      <c r="I256" s="4" t="s">
        <v>667</v>
      </c>
      <c r="J256" s="32" t="s">
        <v>662</v>
      </c>
      <c r="K256" s="4"/>
      <c r="L256" s="4"/>
      <c r="M256" s="4"/>
      <c r="N256" s="33"/>
      <c r="O256" s="38"/>
      <c r="P256" s="3"/>
      <c r="Q256" s="3"/>
    </row>
    <row r="257" spans="2:17" ht="47.25">
      <c r="B257" s="4"/>
      <c r="C257" s="4">
        <v>1</v>
      </c>
      <c r="D257" s="4" t="s">
        <v>668</v>
      </c>
      <c r="E257" s="4" t="s">
        <v>669</v>
      </c>
      <c r="F257" s="251" t="s">
        <v>670</v>
      </c>
      <c r="G257" s="251"/>
      <c r="H257" s="26">
        <v>536473</v>
      </c>
      <c r="I257" s="39" t="s">
        <v>671</v>
      </c>
      <c r="J257" s="32"/>
      <c r="K257" s="4"/>
      <c r="L257" s="4"/>
      <c r="M257" s="4"/>
      <c r="N257" s="33"/>
      <c r="O257" s="38"/>
      <c r="P257" s="3"/>
      <c r="Q257" s="3"/>
    </row>
    <row r="258" spans="2:17" ht="31.5">
      <c r="B258" s="4"/>
      <c r="C258" s="4">
        <v>2</v>
      </c>
      <c r="D258" s="214" t="s">
        <v>682</v>
      </c>
      <c r="E258" s="4" t="s">
        <v>683</v>
      </c>
      <c r="F258" s="250" t="s">
        <v>684</v>
      </c>
      <c r="G258" s="251"/>
      <c r="H258" s="26">
        <v>536380</v>
      </c>
      <c r="I258" s="39" t="s">
        <v>685</v>
      </c>
      <c r="J258" s="32"/>
      <c r="K258" s="4"/>
      <c r="L258" s="4"/>
      <c r="M258" s="4"/>
      <c r="N258" s="33"/>
      <c r="O258" s="38"/>
      <c r="P258" s="3"/>
      <c r="Q258" s="3"/>
    </row>
    <row r="259" spans="2:17" ht="31.5">
      <c r="B259" s="4"/>
      <c r="C259" s="4">
        <v>3</v>
      </c>
      <c r="D259" s="4" t="s">
        <v>1017</v>
      </c>
      <c r="E259" s="4" t="s">
        <v>1018</v>
      </c>
      <c r="F259" s="255"/>
      <c r="G259" s="255"/>
      <c r="H259" s="26">
        <v>536559</v>
      </c>
      <c r="I259" s="39" t="s">
        <v>1019</v>
      </c>
      <c r="J259" s="32"/>
      <c r="K259" s="4"/>
      <c r="L259" s="4"/>
      <c r="M259" s="4"/>
      <c r="N259" s="33"/>
      <c r="O259" s="38"/>
      <c r="P259" s="3"/>
      <c r="Q259" s="3"/>
    </row>
    <row r="260" spans="2:17" ht="31.5">
      <c r="B260" s="4"/>
      <c r="C260" s="4">
        <v>4</v>
      </c>
      <c r="D260" s="4" t="s">
        <v>1020</v>
      </c>
      <c r="E260" s="4" t="s">
        <v>1021</v>
      </c>
      <c r="F260" s="256" t="s">
        <v>1022</v>
      </c>
      <c r="G260" s="255"/>
      <c r="H260" s="26">
        <v>220746</v>
      </c>
      <c r="I260" s="39" t="s">
        <v>1023</v>
      </c>
      <c r="J260" s="32"/>
      <c r="K260" s="4"/>
      <c r="L260" s="4"/>
      <c r="M260" s="4"/>
      <c r="N260" s="33"/>
      <c r="O260" s="38"/>
      <c r="P260" s="3"/>
      <c r="Q260" s="3"/>
    </row>
    <row r="261" spans="2:17" ht="31.5">
      <c r="B261" s="4"/>
      <c r="C261" s="4">
        <v>5</v>
      </c>
      <c r="D261" s="4" t="s">
        <v>1024</v>
      </c>
      <c r="E261" s="4" t="s">
        <v>687</v>
      </c>
      <c r="F261" s="250" t="s">
        <v>1025</v>
      </c>
      <c r="G261" s="251"/>
      <c r="H261" s="26">
        <v>220478</v>
      </c>
      <c r="I261" s="39" t="s">
        <v>1026</v>
      </c>
      <c r="J261" s="32"/>
      <c r="K261" s="4"/>
      <c r="L261" s="4"/>
      <c r="M261" s="4"/>
      <c r="N261" s="33"/>
      <c r="O261" s="31"/>
      <c r="P261" s="3"/>
      <c r="Q261" s="3"/>
    </row>
  </sheetData>
  <mergeCells count="26">
    <mergeCell ref="F261:G261"/>
    <mergeCell ref="C226:D226"/>
    <mergeCell ref="F256:G256"/>
    <mergeCell ref="F257:G257"/>
    <mergeCell ref="F258:G258"/>
    <mergeCell ref="F259:G259"/>
    <mergeCell ref="F260:G260"/>
    <mergeCell ref="B252:C252"/>
    <mergeCell ref="E252:F252"/>
    <mergeCell ref="J252:K252"/>
    <mergeCell ref="L252:M252"/>
    <mergeCell ref="B253:C253"/>
    <mergeCell ref="E253:F253"/>
    <mergeCell ref="J253:K253"/>
    <mergeCell ref="L253:M253"/>
    <mergeCell ref="B2:Q2"/>
    <mergeCell ref="B4:Q4"/>
    <mergeCell ref="B248:O248"/>
    <mergeCell ref="B249:N249"/>
    <mergeCell ref="B251:C251"/>
    <mergeCell ref="E251:F251"/>
    <mergeCell ref="J251:K251"/>
    <mergeCell ref="L251:M251"/>
    <mergeCell ref="J245:L245"/>
    <mergeCell ref="J225:L225"/>
    <mergeCell ref="J246:L246"/>
  </mergeCells>
  <hyperlinks>
    <hyperlink ref="F261" r:id="rId1" tooltip="mailto:estherchemwile@mkrh.go.ke" xr:uid="{00000000-0004-0000-0400-000000000000}"/>
    <hyperlink ref="F257" r:id="rId2" xr:uid="{00000000-0004-0000-0400-000001000000}"/>
    <hyperlink ref="F258" r:id="rId3" xr:uid="{00000000-0004-0000-0400-000002000000}"/>
    <hyperlink ref="F260" r:id="rId4" xr:uid="{00000000-0004-0000-0400-000003000000}"/>
  </hyperlinks>
  <pageMargins left="0.25" right="0.25" top="0.75" bottom="0.75" header="0.3" footer="0.3"/>
  <pageSetup scale="61" fitToHeight="0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INTERIM STOCK TAKE JAN 2026</vt:lpstr>
      <vt:lpstr>FEB 25. 26</vt:lpstr>
      <vt:lpstr>MAY.25.26</vt:lpstr>
      <vt:lpstr>JUNE STOCK TAKE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KNH Othaya  Procurement</cp:lastModifiedBy>
  <cp:lastPrinted>2026-07-08T10:50:31Z</cp:lastPrinted>
  <dcterms:created xsi:type="dcterms:W3CDTF">2025-04-03T05:31:00Z</dcterms:created>
  <dcterms:modified xsi:type="dcterms:W3CDTF">2026-07-08T11:25:35Z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D1DFD1C2A83F44F0BAA90E9764BA55C8_12</vt:lpwstr>
  </property>
  <property fmtid="{D5CDD505-2E9C-101B-9397-08002B2CF9AE}" pid="3" name="KSOProductBuildVer">
    <vt:lpwstr>1033-12.2.0.23196</vt:lpwstr>
  </property>
</Properties>
</file>